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s" sheetId="2" state="visible" r:id="rId2"/>
    <sheet name="DockQ Results" sheetId="3" state="visible" r:id="rId3"/>
    <sheet name="By Method" sheetId="4" state="visible" r:id="rId4"/>
    <sheet name="By Target" sheetId="5" state="visible" r:id="rId5"/>
    <sheet name="Discovery 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sz val="11"/>
    </font>
    <font>
      <name val="Arial"/>
    </font>
    <font>
      <name val="Arial"/>
      <b val="1"/>
      <sz val="12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165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rgetsTbl" displayName="TargetsTbl" ref="A1:N31" headerRowCount="1">
  <autoFilter ref="A1:N31"/>
  <tableColumns count="14">
    <tableColumn id="1" name="pdb_id"/>
    <tableColumn id="2" name="source"/>
    <tableColumn id="3" name="tier"/>
    <tableColumn id="4" name="quality"/>
    <tableColumn id="5" name="include"/>
    <tableColumn id="6" name="topology"/>
    <tableColumn id="7" name="receptor_chains"/>
    <tableColumn id="8" name="peptide_chains"/>
    <tableColumn id="9" name="peptide_length"/>
    <tableColumn id="10" name="peptide_length_source"/>
    <tableColumn id="11" name="peptide_resolved"/>
    <tableColumn id="12" name="pep_nonstd"/>
    <tableColumn id="13" name="native_source"/>
    <tableColumn id="14" name="notes"/>
  </tableColumns>
  <tableStyleInfo name="TableStyleMedium2" showRowStripes="1"/>
</table>
</file>

<file path=xl/tables/table2.xml><?xml version="1.0" encoding="utf-8"?>
<table xmlns="http://schemas.openxmlformats.org/spreadsheetml/2006/main" id="2" name="DockQTbl" displayName="DockQTbl" ref="A1:U10" headerRowCount="1">
  <autoFilter ref="A1:U10"/>
  <tableColumns count="21">
    <tableColumn id="1" name="method"/>
    <tableColumn id="2" name="pdb_id"/>
    <tableColumn id="3" name="tier"/>
    <tableColumn id="4" name="quality"/>
    <tableColumn id="5" name="topology"/>
    <tableColumn id="6" name="rank"/>
    <tableColumn id="7" name="dockq"/>
    <tableColumn id="8" name="capri_class"/>
    <tableColumn id="9" name="irmsd"/>
    <tableColumn id="10" name="lrmsd"/>
    <tableColumn id="11" name="fnat"/>
    <tableColumn id="12" name="fnonnat"/>
    <tableColumn id="13" name="f1"/>
    <tableColumn id="14" name="clashes"/>
    <tableColumn id="15" name="pep_len_model"/>
    <tableColumn id="16" name="pep_len_native"/>
    <tableColumn id="17" name="mapping"/>
    <tableColumn id="18" name="model_file"/>
    <tableColumn id="19" name="native_file"/>
    <tableColumn id="20" name="note"/>
    <tableColumn id="21" name="_key"/>
  </tableColumns>
  <tableStyleInfo name="TableStyleMedium2" showRowStripes="1"/>
</table>
</file>

<file path=xl/tables/table3.xml><?xml version="1.0" encoding="utf-8"?>
<table xmlns="http://schemas.openxmlformats.org/spreadsheetml/2006/main" id="3" name="ByMethodTbl" displayName="ByMethodTbl" ref="A1:I6" headerRowCount="1">
  <autoFilter ref="A1:I6"/>
  <tableColumns count="9">
    <tableColumn id="1" name="method"/>
    <tableColumn id="2" name="n_scored"/>
    <tableColumn id="3" name="n_error"/>
    <tableColumn id="4" name="dockq_mean"/>
    <tableColumn id="5" name="pct_acceptable_ge_0.23"/>
    <tableColumn id="6" name="pct_medium_ge_0.49"/>
    <tableColumn id="7" name="pct_high_ge_0.80"/>
    <tableColumn id="8" name="mean_irmsd"/>
    <tableColumn id="9" name="mean_fnat"/>
  </tableColumns>
  <tableStyleInfo name="TableStyleMedium2" showRowStripes="1"/>
</table>
</file>

<file path=xl/tables/table4.xml><?xml version="1.0" encoding="utf-8"?>
<table xmlns="http://schemas.openxmlformats.org/spreadsheetml/2006/main" id="4" name="ByTargetTbl" displayName="ByTargetTbl" ref="A1:H17" headerRowCount="1">
  <autoFilter ref="A1:H17"/>
  <tableColumns count="8">
    <tableColumn id="1" name="pdb_id"/>
    <tableColumn id="2" name="tier"/>
    <tableColumn id="3" name="quality"/>
    <tableColumn id="4" name="af3"/>
    <tableColumn id="5" name="afmultimer"/>
    <tableColumn id="6" name="boltz"/>
    <tableColumn id="7" name="chai"/>
    <tableColumn id="8" name="protenix"/>
  </tableColumns>
  <tableStyleInfo name="TableStyleMedium2" showRowStripes="1"/>
</table>
</file>

<file path=xl/tables/table5.xml><?xml version="1.0" encoding="utf-8"?>
<table xmlns="http://schemas.openxmlformats.org/spreadsheetml/2006/main" id="5" name="DiscoveryTbl" displayName="DiscoveryTbl" ref="A1:L78" headerRowCount="1">
  <autoFilter ref="A1:L78"/>
  <tableColumns count="12">
    <tableColumn id="1" name="pdb_id"/>
    <tableColumn id="2" name="matched_query"/>
    <tableColumn id="3" name="receptor_len"/>
    <tableColumn id="4" name="peptide_len_seqres"/>
    <tableColumn id="5" name="resolved_frac"/>
    <tableColumn id="6" name="pep_nonstd"/>
    <tableColumn id="7" name="receptor_chain"/>
    <tableColumn id="8" name="peptide_chain"/>
    <tableColumn id="9" name="verdict"/>
    <tableColumn id="10" name="resolved_pep_len"/>
    <tableColumn id="11" name="decision"/>
    <tableColumn id="12" name="decision_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EPIC-AMP Peptide-Docking Benchmark - Data Snapshot</t>
        </is>
      </c>
    </row>
    <row r="2">
      <c r="A2" s="2" t="inlineStr"/>
    </row>
    <row r="3">
      <c r="A3" s="2" t="inlineStr">
        <is>
          <t>Generated 2026-09-05 01:24 UTC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Targets              every target considered (30): included, dropped, and why</t>
        </is>
      </c>
    </row>
    <row r="7">
      <c r="A7" s="2" t="inlineStr">
        <is>
          <t xml:space="preserve">  DockQ Results         raw per-(method, target) DockQ scores (results/summary.csv)</t>
        </is>
      </c>
    </row>
    <row r="8">
      <c r="A8" s="2" t="inlineStr">
        <is>
          <t xml:space="preserve">  By Method             per-method aggregate stats, computed live from DockQ Results</t>
        </is>
      </c>
    </row>
    <row r="9">
      <c r="A9" s="2" t="inlineStr">
        <is>
          <t xml:space="preserve">  By Target             target x method matrix of best-pose DockQ, computed live</t>
        </is>
      </c>
    </row>
    <row r="10">
      <c r="A10" s="2" t="inlineStr">
        <is>
          <t xml:space="preserve">  Discovery Candidates  all 77 candidates from the RCSB expansion sweep + decision</t>
        </is>
      </c>
    </row>
    <row r="11">
      <c r="A11" s="2" t="inlineStr"/>
    </row>
    <row r="12">
      <c r="A12" s="2" t="inlineStr">
        <is>
          <t>Source of truth for the target list: configs/targets.yaml</t>
        </is>
      </c>
    </row>
    <row r="13">
      <c r="A13" s="2" t="inlineStr">
        <is>
          <t>Source of truth for results: results/summary.csv (regenerate via pipeline/run_dockq.py)</t>
        </is>
      </c>
    </row>
    <row r="14">
      <c r="A14" s="2" t="inlineStr">
        <is>
          <t>This file is a snapshot for review/sharing -- re-run the pipeline and rebuild this</t>
        </is>
      </c>
    </row>
    <row r="15">
      <c r="A15" s="2" t="inlineStr">
        <is>
          <t>workbook rather than hand-editing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" customWidth="1" min="3" max="3"/>
    <col width="9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16" customWidth="1" min="10" max="10"/>
    <col width="12" customWidth="1" min="11" max="11"/>
    <col width="16" customWidth="1" min="12" max="12"/>
    <col width="12" customWidth="1" min="13" max="13"/>
    <col width="70" customWidth="1" min="14" max="14"/>
  </cols>
  <sheetData>
    <row r="1" ht="18" customHeight="1">
      <c r="A1" s="4" t="inlineStr">
        <is>
          <t>pdb_id</t>
        </is>
      </c>
      <c r="B1" s="4" t="inlineStr">
        <is>
          <t>source</t>
        </is>
      </c>
      <c r="C1" s="4" t="inlineStr">
        <is>
          <t>tier</t>
        </is>
      </c>
      <c r="D1" s="4" t="inlineStr">
        <is>
          <t>quality</t>
        </is>
      </c>
      <c r="E1" s="4" t="inlineStr">
        <is>
          <t>include</t>
        </is>
      </c>
      <c r="F1" s="4" t="inlineStr">
        <is>
          <t>topology</t>
        </is>
      </c>
      <c r="G1" s="4" t="inlineStr">
        <is>
          <t>receptor_chains</t>
        </is>
      </c>
      <c r="H1" s="4" t="inlineStr">
        <is>
          <t>peptide_chains</t>
        </is>
      </c>
      <c r="I1" s="4" t="inlineStr">
        <is>
          <t>peptide_length</t>
        </is>
      </c>
      <c r="J1" s="4" t="inlineStr">
        <is>
          <t>peptide_length_source</t>
        </is>
      </c>
      <c r="K1" s="4" t="inlineStr">
        <is>
          <t>peptide_resolved</t>
        </is>
      </c>
      <c r="L1" s="4" t="inlineStr">
        <is>
          <t>pep_nonstd</t>
        </is>
      </c>
      <c r="M1" s="4" t="inlineStr">
        <is>
          <t>native_source</t>
        </is>
      </c>
      <c r="N1" s="4" t="inlineStr">
        <is>
          <t>notes</t>
        </is>
      </c>
    </row>
    <row r="2">
      <c r="A2" s="5" t="inlineStr">
        <is>
          <t>6HY2</t>
        </is>
      </c>
      <c r="B2" s="5" t="inlineStr">
        <is>
          <t>AMP data edited.xlsx</t>
        </is>
      </c>
      <c r="C2" s="5" t="n">
        <v>1</v>
      </c>
      <c r="D2" s="5" t="inlineStr">
        <is>
          <t>ok</t>
        </is>
      </c>
      <c r="E2" s="5" t="b">
        <v>1</v>
      </c>
      <c r="F2" s="5" t="inlineStr">
        <is>
          <t>linear</t>
        </is>
      </c>
      <c r="G2" s="5" t="inlineStr">
        <is>
          <t>X</t>
        </is>
      </c>
      <c r="H2" s="5" t="inlineStr">
        <is>
          <t>A</t>
        </is>
      </c>
      <c r="I2" s="5" t="n">
        <v>12</v>
      </c>
      <c r="J2" s="5" t="inlineStr">
        <is>
          <t>user_supplied</t>
        </is>
      </c>
      <c r="K2" s="5" t="inlineStr">
        <is>
          <t>12/12</t>
        </is>
      </c>
      <c r="L2" s="5" t="inlineStr"/>
      <c r="M2" s="5" t="inlineStr">
        <is>
          <t>assembly1</t>
        </is>
      </c>
      <c r="N2" s="6" t="inlineStr">
        <is>
          <t>Phase-1 pilot. DiffPepBuilder preprocess_utils CA-atom patch applied for this entry.</t>
        </is>
      </c>
    </row>
    <row r="3">
      <c r="A3" s="5" t="inlineStr">
        <is>
          <t>4EZS</t>
        </is>
      </c>
      <c r="B3" s="5" t="inlineStr">
        <is>
          <t>AMP data edited.xlsx</t>
        </is>
      </c>
      <c r="C3" s="5" t="n">
        <v>1</v>
      </c>
      <c r="D3" s="5" t="inlineStr">
        <is>
          <t>ok</t>
        </is>
      </c>
      <c r="E3" s="5" t="b">
        <v>1</v>
      </c>
      <c r="F3" s="5" t="inlineStr">
        <is>
          <t>linear</t>
        </is>
      </c>
      <c r="G3" s="5" t="inlineStr">
        <is>
          <t>A</t>
        </is>
      </c>
      <c r="H3" s="5" t="inlineStr">
        <is>
          <t>B</t>
        </is>
      </c>
      <c r="I3" s="5" t="n">
        <v>8</v>
      </c>
      <c r="J3" s="5" t="inlineStr">
        <is>
          <t>user_supplied</t>
        </is>
      </c>
      <c r="K3" s="5" t="inlineStr">
        <is>
          <t>8/8</t>
        </is>
      </c>
      <c r="L3" s="5" t="inlineStr"/>
      <c r="M3" s="5" t="inlineStr">
        <is>
          <t>assembly1</t>
        </is>
      </c>
      <c r="N3" s="6" t="inlineStr">
        <is>
          <t>Receptor = DnaK chaperone (E. coli); peptide = Metchnikowin (Drosophila).</t>
        </is>
      </c>
    </row>
    <row r="4">
      <c r="A4" s="5" t="inlineStr">
        <is>
          <t>8GAL</t>
        </is>
      </c>
      <c r="B4" s="5" t="inlineStr">
        <is>
          <t>AMP data edited.xlsx</t>
        </is>
      </c>
      <c r="C4" s="5" t="n">
        <v>3</v>
      </c>
      <c r="D4" s="5" t="inlineStr">
        <is>
          <t>ok</t>
        </is>
      </c>
      <c r="E4" s="5" t="b">
        <v>1</v>
      </c>
      <c r="F4" s="5" t="inlineStr">
        <is>
          <t>linear</t>
        </is>
      </c>
      <c r="G4" s="5" t="inlineStr">
        <is>
          <t>A,C</t>
        </is>
      </c>
      <c r="H4" s="5" t="inlineStr">
        <is>
          <t>B,D</t>
        </is>
      </c>
      <c r="I4" s="5" t="n">
        <v>20</v>
      </c>
      <c r="J4" s="5" t="inlineStr">
        <is>
          <t>user_supplied</t>
        </is>
      </c>
      <c r="K4" s="5" t="inlineStr">
        <is>
          <t>18/20</t>
        </is>
      </c>
      <c r="L4" s="5" t="inlineStr"/>
      <c r="M4" s="5" t="inlineStr">
        <is>
          <t>assembly1</t>
        </is>
      </c>
      <c r="N4" s="6" t="inlineStr">
        <is>
          <t>Receptor = LptA (E. coli); peptide = Thanatin. Two receptor+peptide copies (A/B and C/D); keep A/B.</t>
        </is>
      </c>
    </row>
    <row r="5">
      <c r="A5" s="5" t="inlineStr">
        <is>
          <t>6Z2P</t>
        </is>
      </c>
      <c r="B5" s="5" t="inlineStr">
        <is>
          <t>AMP data edited.xlsx</t>
        </is>
      </c>
      <c r="C5" s="5" t="n">
        <v>2</v>
      </c>
      <c r="D5" s="5" t="inlineStr">
        <is>
          <t>caution</t>
        </is>
      </c>
      <c r="E5" s="5" t="b">
        <v>1</v>
      </c>
      <c r="F5" s="5" t="inlineStr">
        <is>
          <t>linear</t>
        </is>
      </c>
      <c r="G5" s="5" t="inlineStr">
        <is>
          <t>A</t>
        </is>
      </c>
      <c r="H5" s="5" t="inlineStr">
        <is>
          <t>C</t>
        </is>
      </c>
      <c r="I5" s="5" t="n">
        <v>19</v>
      </c>
      <c r="J5" s="5" t="inlineStr">
        <is>
          <t>user_supplied</t>
        </is>
      </c>
      <c r="K5" s="5" t="inlineStr">
        <is>
          <t>10/19</t>
        </is>
      </c>
      <c r="L5" s="5" t="inlineStr"/>
      <c r="M5" s="5" t="inlineStr">
        <is>
          <t>assembly1</t>
        </is>
      </c>
      <c r="N5" s="6" t="inlineStr">
        <is>
          <t>Receptor = O-glycan protease (Akkermansia); peptide = Glycodrosocin. Only the central 10 aa (RPYSPRPTSH) ordered. Paired with dropped 6Z2Q. Report with asterisk; verify the ordered stretch covers the interface.</t>
        </is>
      </c>
    </row>
    <row r="6">
      <c r="A6" s="5" t="inlineStr">
        <is>
          <t>4JWC</t>
        </is>
      </c>
      <c r="B6" s="5" t="inlineStr">
        <is>
          <t>AMP data edited.xlsx</t>
        </is>
      </c>
      <c r="C6" s="5" t="n">
        <v>3</v>
      </c>
      <c r="D6" s="5" t="inlineStr">
        <is>
          <t>caution</t>
        </is>
      </c>
      <c r="E6" s="5" t="b">
        <v>1</v>
      </c>
      <c r="F6" s="5" t="inlineStr">
        <is>
          <t>linear</t>
        </is>
      </c>
      <c r="G6" s="5" t="inlineStr">
        <is>
          <t>A,B</t>
        </is>
      </c>
      <c r="H6" s="5" t="inlineStr">
        <is>
          <t>C,D</t>
        </is>
      </c>
      <c r="I6" s="5" t="n">
        <v>16</v>
      </c>
      <c r="J6" s="5" t="inlineStr">
        <is>
          <t>user_supplied</t>
        </is>
      </c>
      <c r="K6" s="5" t="inlineStr">
        <is>
          <t>9/16</t>
        </is>
      </c>
      <c r="L6" s="5" t="inlineStr"/>
      <c r="M6" s="5" t="inlineStr">
        <is>
          <t>assembly1</t>
        </is>
      </c>
      <c r="N6" s="6" t="inlineStr">
        <is>
          <t>Receptor = DnaK (E. coli); peptide = Cathelicidin-3/Bac7-type (Bos taurus). Shares system with 4JWD. 56% of peptide ordered; report with asterisk.</t>
        </is>
      </c>
    </row>
    <row r="7">
      <c r="A7" s="5" t="inlineStr">
        <is>
          <t>4JWD</t>
        </is>
      </c>
      <c r="B7" s="5" t="inlineStr">
        <is>
          <t>AMP data edited.xlsx</t>
        </is>
      </c>
      <c r="C7" s="5" t="n">
        <v>3</v>
      </c>
      <c r="D7" s="5" t="inlineStr">
        <is>
          <t>caution</t>
        </is>
      </c>
      <c r="E7" s="5" t="b">
        <v>1</v>
      </c>
      <c r="F7" s="5" t="inlineStr">
        <is>
          <t>linear</t>
        </is>
      </c>
      <c r="G7" s="5" t="inlineStr">
        <is>
          <t>A,B</t>
        </is>
      </c>
      <c r="H7" s="5" t="inlineStr">
        <is>
          <t>C,D</t>
        </is>
      </c>
      <c r="I7" s="5" t="n">
        <v>14</v>
      </c>
      <c r="J7" s="5" t="inlineStr">
        <is>
          <t>user_supplied</t>
        </is>
      </c>
      <c r="K7" s="5" t="inlineStr">
        <is>
          <t>7/14</t>
        </is>
      </c>
      <c r="L7" s="5" t="inlineStr"/>
      <c r="M7" s="5" t="inlineStr">
        <is>
          <t>assembly1</t>
        </is>
      </c>
      <c r="N7" s="6" t="inlineStr">
        <is>
          <t>Receptor = DnaK (E. coli); peptide = Cathelicidin-3 fragment (Bos taurus). Shares system with 4JWC. 50% of peptide ordered; report with asterisk.</t>
        </is>
      </c>
    </row>
    <row r="8">
      <c r="A8" s="5" t="inlineStr">
        <is>
          <t>4EZR</t>
        </is>
      </c>
      <c r="B8" s="5" t="inlineStr">
        <is>
          <t>rcsb_discovery</t>
        </is>
      </c>
      <c r="C8" s="5" t="n">
        <v>1</v>
      </c>
      <c r="D8" s="5" t="inlineStr">
        <is>
          <t>ok</t>
        </is>
      </c>
      <c r="E8" s="5" t="b">
        <v>1</v>
      </c>
      <c r="F8" s="5" t="inlineStr">
        <is>
          <t>linear</t>
        </is>
      </c>
      <c r="G8" s="5" t="inlineStr">
        <is>
          <t>A</t>
        </is>
      </c>
      <c r="H8" s="5" t="inlineStr">
        <is>
          <t>B</t>
        </is>
      </c>
      <c r="I8" s="5" t="n">
        <v>8</v>
      </c>
      <c r="J8" s="5" t="inlineStr">
        <is>
          <t>rcsb_seqres</t>
        </is>
      </c>
      <c r="K8" s="5" t="inlineStr">
        <is>
          <t>8/8</t>
        </is>
      </c>
      <c r="L8" s="5" t="inlineStr"/>
      <c r="M8" s="5" t="inlineStr">
        <is>
          <t>assembly1</t>
        </is>
      </c>
      <c r="N8" s="6" t="inlineStr">
        <is>
          <t>Receptor = DnaK chaperone (E. coli, same family as 4EZS/4JWC/4JWD/4JWI/4EZU/4EZQ/4EZO); peptide = Drosocin.</t>
        </is>
      </c>
    </row>
    <row r="9">
      <c r="A9" s="5" t="inlineStr">
        <is>
          <t>4E81</t>
        </is>
      </c>
      <c r="B9" s="5" t="inlineStr">
        <is>
          <t>rcsb_discovery</t>
        </is>
      </c>
      <c r="C9" s="5" t="n">
        <v>1</v>
      </c>
      <c r="D9" s="5" t="inlineStr">
        <is>
          <t>ok</t>
        </is>
      </c>
      <c r="E9" s="5" t="b">
        <v>1</v>
      </c>
      <c r="F9" s="5" t="inlineStr">
        <is>
          <t>linear</t>
        </is>
      </c>
      <c r="G9" s="5" t="inlineStr">
        <is>
          <t>A</t>
        </is>
      </c>
      <c r="H9" s="5" t="inlineStr">
        <is>
          <t>C</t>
        </is>
      </c>
      <c r="I9" s="5" t="n">
        <v>10</v>
      </c>
      <c r="J9" s="5" t="inlineStr">
        <is>
          <t>rcsb_seqres</t>
        </is>
      </c>
      <c r="K9" s="5" t="inlineStr">
        <is>
          <t>9/10</t>
        </is>
      </c>
      <c r="L9" s="5" t="inlineStr"/>
      <c r="M9" s="5" t="inlineStr">
        <is>
          <t>assembly1</t>
        </is>
      </c>
      <c r="N9" s="6" t="inlineStr">
        <is>
          <t>Receptor = DnaK (E. coli); peptide = Apidaecin fragment. Near-duplicate 4F00 (same complex, slightly lower resolved fraction) skipped as redundant.</t>
        </is>
      </c>
    </row>
    <row r="10">
      <c r="A10" s="5" t="inlineStr">
        <is>
          <t>4EZU</t>
        </is>
      </c>
      <c r="B10" s="5" t="inlineStr">
        <is>
          <t>rcsb_discovery</t>
        </is>
      </c>
      <c r="C10" s="5" t="n">
        <v>2</v>
      </c>
      <c r="D10" s="5" t="inlineStr">
        <is>
          <t>ok</t>
        </is>
      </c>
      <c r="E10" s="5" t="b">
        <v>1</v>
      </c>
      <c r="F10" s="5" t="inlineStr">
        <is>
          <t>linear</t>
        </is>
      </c>
      <c r="G10" s="5" t="inlineStr">
        <is>
          <t>A</t>
        </is>
      </c>
      <c r="H10" s="5" t="inlineStr">
        <is>
          <t>B</t>
        </is>
      </c>
      <c r="I10" s="5" t="n">
        <v>17</v>
      </c>
      <c r="J10" s="5" t="inlineStr">
        <is>
          <t>rcsb_seqres</t>
        </is>
      </c>
      <c r="K10" s="5" t="inlineStr">
        <is>
          <t>14/17</t>
        </is>
      </c>
      <c r="L10" s="5" t="inlineStr"/>
      <c r="M10" s="5" t="inlineStr">
        <is>
          <t>assembly1</t>
        </is>
      </c>
      <c r="N10" s="6" t="inlineStr">
        <is>
          <t>Receptor = DnaK (E. coli); peptide = proline-rich bombesin-related peptide. Near-duplicate 4EZV (caution, same complex) skipped as redundant.</t>
        </is>
      </c>
    </row>
    <row r="11">
      <c r="A11" s="5" t="inlineStr">
        <is>
          <t>4EZQ</t>
        </is>
      </c>
      <c r="B11" s="5" t="inlineStr">
        <is>
          <t>rcsb_discovery</t>
        </is>
      </c>
      <c r="C11" s="5" t="n">
        <v>1</v>
      </c>
      <c r="D11" s="5" t="inlineStr">
        <is>
          <t>caution</t>
        </is>
      </c>
      <c r="E11" s="5" t="b">
        <v>1</v>
      </c>
      <c r="F11" s="5" t="inlineStr">
        <is>
          <t>linear</t>
        </is>
      </c>
      <c r="G11" s="5" t="inlineStr">
        <is>
          <t>A</t>
        </is>
      </c>
      <c r="H11" s="5" t="inlineStr">
        <is>
          <t>B</t>
        </is>
      </c>
      <c r="I11" s="5" t="n">
        <v>9</v>
      </c>
      <c r="J11" s="5" t="inlineStr">
        <is>
          <t>rcsb_seqres</t>
        </is>
      </c>
      <c r="K11" s="5" t="inlineStr">
        <is>
          <t>7/9</t>
        </is>
      </c>
      <c r="L11" s="5" t="inlineStr"/>
      <c r="M11" s="5" t="inlineStr">
        <is>
          <t>assembly1</t>
        </is>
      </c>
      <c r="N11" s="6" t="inlineStr">
        <is>
          <t>Receptor = DnaK (E. coli); peptide = Pyrrhocoricin. 78% peptide resolved; report with asterisk.</t>
        </is>
      </c>
    </row>
    <row r="12">
      <c r="A12" s="5" t="inlineStr">
        <is>
          <t>4EZO</t>
        </is>
      </c>
      <c r="B12" s="5" t="inlineStr">
        <is>
          <t>rcsb_discovery</t>
        </is>
      </c>
      <c r="C12" s="5" t="n">
        <v>2</v>
      </c>
      <c r="D12" s="5" t="inlineStr">
        <is>
          <t>caution</t>
        </is>
      </c>
      <c r="E12" s="5" t="b">
        <v>1</v>
      </c>
      <c r="F12" s="5" t="inlineStr">
        <is>
          <t>linear</t>
        </is>
      </c>
      <c r="G12" s="5" t="inlineStr">
        <is>
          <t>A</t>
        </is>
      </c>
      <c r="H12" s="5" t="inlineStr">
        <is>
          <t>C</t>
        </is>
      </c>
      <c r="I12" s="5" t="n">
        <v>15</v>
      </c>
      <c r="J12" s="5" t="inlineStr">
        <is>
          <t>rcsb_seqres</t>
        </is>
      </c>
      <c r="K12" s="5" t="inlineStr">
        <is>
          <t>8/15</t>
        </is>
      </c>
      <c r="L12" s="5" t="inlineStr"/>
      <c r="M12" s="5" t="inlineStr">
        <is>
          <t>assembly1</t>
        </is>
      </c>
      <c r="N12" s="6" t="inlineStr">
        <is>
          <t>Receptor = DnaK (E. coli); peptide = PR-39 antibacterial protein. 53% peptide resolved; report with asterisk.</t>
        </is>
      </c>
    </row>
    <row r="13">
      <c r="A13" s="5" t="inlineStr">
        <is>
          <t>2HD4</t>
        </is>
      </c>
      <c r="B13" s="5" t="inlineStr">
        <is>
          <t>rcsb_discovery</t>
        </is>
      </c>
      <c r="C13" s="5" t="n">
        <v>1</v>
      </c>
      <c r="D13" s="5" t="inlineStr">
        <is>
          <t>ok</t>
        </is>
      </c>
      <c r="E13" s="5" t="b">
        <v>1</v>
      </c>
      <c r="F13" s="5" t="inlineStr">
        <is>
          <t>linear</t>
        </is>
      </c>
      <c r="G13" s="5" t="inlineStr">
        <is>
          <t>A</t>
        </is>
      </c>
      <c r="H13" s="5" t="inlineStr">
        <is>
          <t>B</t>
        </is>
      </c>
      <c r="I13" s="5" t="n">
        <v>8</v>
      </c>
      <c r="J13" s="5" t="inlineStr">
        <is>
          <t>rcsb_seqres</t>
        </is>
      </c>
      <c r="K13" s="5" t="inlineStr">
        <is>
          <t>8/8</t>
        </is>
      </c>
      <c r="L13" s="5" t="inlineStr"/>
      <c r="M13" s="5" t="inlineStr">
        <is>
          <t>assembly1</t>
        </is>
      </c>
      <c r="N13" s="6" t="inlineStr">
        <is>
          <t>Receptor = Proteinase K; peptide = 8-mer fragment of Lactotransferrin (lactoferricin-related). CAVEAT: receptor is a generic protease used for the crystallography, not a natural AMP-resistance/uptake target -- included for peptide diversity, weigh accordingly.</t>
        </is>
      </c>
    </row>
    <row r="14">
      <c r="A14" s="5" t="inlineStr">
        <is>
          <t>8AHT</t>
        </is>
      </c>
      <c r="B14" s="5" t="inlineStr">
        <is>
          <t>rcsb_discovery</t>
        </is>
      </c>
      <c r="C14" s="5" t="n">
        <v>2</v>
      </c>
      <c r="D14" s="5" t="inlineStr">
        <is>
          <t>ok</t>
        </is>
      </c>
      <c r="E14" s="5" t="b">
        <v>1</v>
      </c>
      <c r="F14" s="5" t="inlineStr">
        <is>
          <t>linear</t>
        </is>
      </c>
      <c r="G14" s="5" t="inlineStr">
        <is>
          <t>A</t>
        </is>
      </c>
      <c r="H14" s="5" t="inlineStr">
        <is>
          <t>F</t>
        </is>
      </c>
      <c r="I14" s="5" t="n">
        <v>26</v>
      </c>
      <c r="J14" s="5" t="inlineStr">
        <is>
          <t>rcsb_seqres</t>
        </is>
      </c>
      <c r="K14" s="5" t="inlineStr">
        <is>
          <t>25/26</t>
        </is>
      </c>
      <c r="L14" s="5" t="inlineStr"/>
      <c r="M14" s="5" t="inlineStr">
        <is>
          <t>assembly1</t>
        </is>
      </c>
      <c r="N14" s="6" t="inlineStr">
        <is>
          <t>Receptor = Calmodulin; peptide = Melittin (bee venom AMP). Near-duplicate 8AHS (same complex, lower resolved fraction) skipped as redundant.</t>
        </is>
      </c>
    </row>
    <row r="15">
      <c r="A15" s="5" t="inlineStr">
        <is>
          <t>3QRX</t>
        </is>
      </c>
      <c r="B15" s="5" t="inlineStr">
        <is>
          <t>rcsb_discovery</t>
        </is>
      </c>
      <c r="C15" s="5" t="n">
        <v>2</v>
      </c>
      <c r="D15" s="5" t="inlineStr">
        <is>
          <t>caution</t>
        </is>
      </c>
      <c r="E15" s="5" t="b">
        <v>1</v>
      </c>
      <c r="F15" s="5" t="inlineStr">
        <is>
          <t>linear</t>
        </is>
      </c>
      <c r="G15" s="5" t="inlineStr">
        <is>
          <t>A</t>
        </is>
      </c>
      <c r="H15" s="5" t="inlineStr">
        <is>
          <t>B</t>
        </is>
      </c>
      <c r="I15" s="5" t="n">
        <v>26</v>
      </c>
      <c r="J15" s="5" t="inlineStr">
        <is>
          <t>rcsb_seqres</t>
        </is>
      </c>
      <c r="K15" s="5" t="inlineStr">
        <is>
          <t>20/26</t>
        </is>
      </c>
      <c r="L15" s="5" t="inlineStr"/>
      <c r="M15" s="5" t="inlineStr">
        <is>
          <t>assembly1</t>
        </is>
      </c>
      <c r="N15" s="6" t="inlineStr">
        <is>
          <t>Receptor = Centrin; peptide = Melittin (different host-protein partner than 8AHT). 77% resolved; report with asterisk.</t>
        </is>
      </c>
    </row>
    <row r="16">
      <c r="A16" s="5" t="inlineStr">
        <is>
          <t>4N6P</t>
        </is>
      </c>
      <c r="B16" s="5" t="inlineStr">
        <is>
          <t>rcsb_discovery</t>
        </is>
      </c>
      <c r="C16" s="5" t="n">
        <v>1</v>
      </c>
      <c r="D16" s="5" t="inlineStr">
        <is>
          <t>ok</t>
        </is>
      </c>
      <c r="E16" s="5" t="b">
        <v>1</v>
      </c>
      <c r="F16" s="5" t="inlineStr">
        <is>
          <t>linear</t>
        </is>
      </c>
      <c r="G16" s="5" t="inlineStr">
        <is>
          <t>A</t>
        </is>
      </c>
      <c r="H16" s="5" t="inlineStr">
        <is>
          <t>B</t>
        </is>
      </c>
      <c r="I16" s="5" t="n">
        <v>6</v>
      </c>
      <c r="J16" s="5" t="inlineStr">
        <is>
          <t>rcsb_seqres</t>
        </is>
      </c>
      <c r="K16" s="5" t="inlineStr">
        <is>
          <t>6/6</t>
        </is>
      </c>
      <c r="L16" s="5" t="inlineStr"/>
      <c r="M16" s="5" t="inlineStr">
        <is>
          <t>assembly1</t>
        </is>
      </c>
      <c r="N16" s="6" t="inlineStr">
        <is>
          <t>Receptor = Lactotransferrin; peptide = its own C-terminal hexapeptide fragment (lactoferricin-related). CAVEAT: receptor and peptide are the same parent protein (a self-complex/domain-swap structure), not a distinct AMP-target pair -- judgment call to keep. Picked as ONE representative of a 16-way duplicate cluster (3U72,3VDF,4DXU,4FIM,4FJP,4G2Z,4GRK,3V5A,4FOR,3TOD,3U8Q,3UGW,3UK4,3USD,4DIG all near-identical, skipped).</t>
        </is>
      </c>
    </row>
    <row r="17">
      <c r="A17" s="5" t="inlineStr">
        <is>
          <t>7SAY</t>
        </is>
      </c>
      <c r="B17" s="5" t="inlineStr">
        <is>
          <t>rcsb_discovery</t>
        </is>
      </c>
      <c r="C17" s="5" t="n">
        <v>2</v>
      </c>
      <c r="D17" s="5" t="inlineStr">
        <is>
          <t>ok</t>
        </is>
      </c>
      <c r="E17" s="5" t="b">
        <v>1</v>
      </c>
      <c r="F17" s="5" t="inlineStr">
        <is>
          <t>linear</t>
        </is>
      </c>
      <c r="G17" s="5" t="inlineStr">
        <is>
          <t>A</t>
        </is>
      </c>
      <c r="H17" s="5" t="inlineStr">
        <is>
          <t>E</t>
        </is>
      </c>
      <c r="I17" s="5" t="n">
        <v>37</v>
      </c>
      <c r="J17" s="5" t="inlineStr">
        <is>
          <t>rcsb_seqres</t>
        </is>
      </c>
      <c r="K17" s="5" t="inlineStr">
        <is>
          <t>35/37</t>
        </is>
      </c>
      <c r="L17" s="5" t="inlineStr"/>
      <c r="M17" s="5" t="inlineStr">
        <is>
          <t>assembly1</t>
        </is>
      </c>
      <c r="N17" s="6" t="inlineStr">
        <is>
          <t>Receptor = engineered GCN4/M-protein crystallization scaffold; peptide = LL-37, the canonical human cathelicidin AMP. CAVEAT: receptor is an artificial scaffold, not a natural binding partner -- included to have an LL-37 structure at all; weigh accordingly.</t>
        </is>
      </c>
    </row>
    <row r="18">
      <c r="A18" s="5" t="inlineStr">
        <is>
          <t>6Z2Q</t>
        </is>
      </c>
      <c r="B18" s="5" t="inlineStr">
        <is>
          <t>AMP data edited.xlsx</t>
        </is>
      </c>
      <c r="C18" s="5" t="n">
        <v>2</v>
      </c>
      <c r="D18" s="5" t="inlineStr">
        <is>
          <t>drop</t>
        </is>
      </c>
      <c r="E18" s="5" t="b">
        <v>0</v>
      </c>
      <c r="F18" s="5" t="inlineStr">
        <is>
          <t>linear</t>
        </is>
      </c>
      <c r="G18" s="5" t="inlineStr">
        <is>
          <t>A</t>
        </is>
      </c>
      <c r="H18" s="5" t="inlineStr">
        <is>
          <t>D</t>
        </is>
      </c>
      <c r="I18" s="5" t="n">
        <v>19</v>
      </c>
      <c r="J18" s="5" t="inlineStr">
        <is>
          <t>user_supplied</t>
        </is>
      </c>
      <c r="K18" s="5" t="inlineStr">
        <is>
          <t>2/19</t>
        </is>
      </c>
      <c r="L18" s="5" t="inlineStr"/>
      <c r="M18" s="5" t="inlineStr">
        <is>
          <t>assembly1</t>
        </is>
      </c>
      <c r="N18" s="6" t="inlineStr">
        <is>
          <t>DROP (disordered): only 2 of 19 peptide residues (TS) modelled. No usable interface.</t>
        </is>
      </c>
    </row>
    <row r="19">
      <c r="A19" s="5" t="inlineStr">
        <is>
          <t>8GQA</t>
        </is>
      </c>
      <c r="B19" s="5" t="inlineStr">
        <is>
          <t>AMP data edited.xlsx</t>
        </is>
      </c>
      <c r="C19" s="5" t="n">
        <v>2</v>
      </c>
      <c r="D19" s="5" t="inlineStr">
        <is>
          <t>drop</t>
        </is>
      </c>
      <c r="E19" s="5" t="b">
        <v>0</v>
      </c>
      <c r="F19" s="5" t="inlineStr">
        <is>
          <t>unknown</t>
        </is>
      </c>
      <c r="G19" s="5" t="inlineStr">
        <is>
          <t>A</t>
        </is>
      </c>
      <c r="H19" s="5" t="inlineStr">
        <is>
          <t>B</t>
        </is>
      </c>
      <c r="I19" s="5" t="n">
        <v>20</v>
      </c>
      <c r="J19" s="5" t="inlineStr">
        <is>
          <t>user_supplied</t>
        </is>
      </c>
      <c r="K19" s="5" t="inlineStr">
        <is>
          <t>9/20</t>
        </is>
      </c>
      <c r="L19" s="5" t="inlineStr"/>
      <c r="M19" s="5" t="inlineStr">
        <is>
          <t>assembly1</t>
        </is>
      </c>
      <c r="N19" s="6" t="inlineStr">
        <is>
          <t>DROP (disordered): MslA RiPP precursor analog, 4 Cys -- likely macrocyclic. Only 9/20 residues ordered.</t>
        </is>
      </c>
    </row>
    <row r="20">
      <c r="A20" s="5" t="inlineStr">
        <is>
          <t>3QNJ</t>
        </is>
      </c>
      <c r="B20" s="5" t="inlineStr">
        <is>
          <t>AMP data edited.xlsx</t>
        </is>
      </c>
      <c r="C20" s="5" t="n">
        <v>3</v>
      </c>
      <c r="D20" s="5" t="inlineStr">
        <is>
          <t>drop</t>
        </is>
      </c>
      <c r="E20" s="5" t="b">
        <v>0</v>
      </c>
      <c r="F20" s="5" t="inlineStr">
        <is>
          <t>linear</t>
        </is>
      </c>
      <c r="G20" s="5" t="inlineStr">
        <is>
          <t>A,B</t>
        </is>
      </c>
      <c r="H20" s="5" t="inlineStr">
        <is>
          <t>C,D</t>
        </is>
      </c>
      <c r="I20" s="5" t="n">
        <v>19</v>
      </c>
      <c r="J20" s="5" t="inlineStr">
        <is>
          <t>user_supplied</t>
        </is>
      </c>
      <c r="K20" s="5" t="inlineStr">
        <is>
          <t>8/19</t>
        </is>
      </c>
      <c r="L20" s="5" t="inlineStr"/>
      <c r="M20" s="5" t="inlineStr">
        <is>
          <t>assembly1</t>
        </is>
      </c>
      <c r="N20" s="6" t="inlineStr">
        <is>
          <t>DROP (disordered): Oncocin (Pro-rich AMP) in the DnaK substrate channel; only 8/19 residues ordered.</t>
        </is>
      </c>
    </row>
    <row r="21">
      <c r="A21" s="5" t="inlineStr">
        <is>
          <t>4JWE</t>
        </is>
      </c>
      <c r="B21" s="5" t="inlineStr">
        <is>
          <t>AMP data edited.xlsx</t>
        </is>
      </c>
      <c r="C21" s="5" t="n">
        <v>3</v>
      </c>
      <c r="D21" s="5" t="inlineStr">
        <is>
          <t>drop</t>
        </is>
      </c>
      <c r="E21" s="5" t="b">
        <v>0</v>
      </c>
      <c r="F21" s="5" t="inlineStr">
        <is>
          <t>linear</t>
        </is>
      </c>
      <c r="G21" s="5" t="inlineStr">
        <is>
          <t>A,B</t>
        </is>
      </c>
      <c r="H21" s="5" t="inlineStr">
        <is>
          <t>C,D</t>
        </is>
      </c>
      <c r="I21" s="5" t="n">
        <v>21</v>
      </c>
      <c r="J21" s="5" t="inlineStr">
        <is>
          <t>user_supplied</t>
        </is>
      </c>
      <c r="K21" s="5" t="inlineStr">
        <is>
          <t>9/21</t>
        </is>
      </c>
      <c r="L21" s="5" t="inlineStr"/>
      <c r="M21" s="5" t="inlineStr">
        <is>
          <t>assembly1</t>
        </is>
      </c>
      <c r="N21" s="6" t="inlineStr">
        <is>
          <t>DROP (disordered): same system as 4JWC/4JWD; only 43% of this peptide variant ordered.</t>
        </is>
      </c>
    </row>
    <row r="22">
      <c r="A22" s="5" t="inlineStr">
        <is>
          <t>8ITG</t>
        </is>
      </c>
      <c r="B22" s="5" t="inlineStr">
        <is>
          <t>AMP data edited.xlsx</t>
        </is>
      </c>
      <c r="C22" s="5" t="n">
        <v>4</v>
      </c>
      <c r="D22" s="5" t="inlineStr">
        <is>
          <t>drop</t>
        </is>
      </c>
      <c r="E22" s="5" t="b">
        <v>0</v>
      </c>
      <c r="F22" s="5" t="inlineStr">
        <is>
          <t>linear</t>
        </is>
      </c>
      <c r="G22" s="5" t="inlineStr">
        <is>
          <t>A</t>
        </is>
      </c>
      <c r="H22" s="5" t="inlineStr">
        <is>
          <t>B</t>
        </is>
      </c>
      <c r="I22" s="5" t="n">
        <v>42</v>
      </c>
      <c r="J22" s="5" t="inlineStr">
        <is>
          <t>user_supplied</t>
        </is>
      </c>
      <c r="K22" s="5" t="inlineStr">
        <is>
          <t>7/42</t>
        </is>
      </c>
      <c r="L22" s="5" t="inlineStr"/>
      <c r="M22" s="5" t="inlineStr">
        <is>
          <t>assembly1</t>
        </is>
      </c>
      <c r="N22" s="6" t="inlineStr">
        <is>
          <t>DROP (disordered): 42-mer mini-protein; only 7 residues modelled. Also outside the peptide-docking size regime.</t>
        </is>
      </c>
    </row>
    <row r="23">
      <c r="A23" s="5" t="inlineStr">
        <is>
          <t>6Y0X</t>
        </is>
      </c>
      <c r="B23" s="5" t="inlineStr">
        <is>
          <t>AMP data edited.xlsx</t>
        </is>
      </c>
      <c r="C23" s="5" t="n">
        <v>4</v>
      </c>
      <c r="D23" s="5" t="inlineStr">
        <is>
          <t>drop</t>
        </is>
      </c>
      <c r="E23" s="5" t="b">
        <v>0</v>
      </c>
      <c r="F23" s="5" t="inlineStr">
        <is>
          <t>unknown</t>
        </is>
      </c>
      <c r="G23" s="5" t="inlineStr">
        <is>
          <t>A,B,C,D,E</t>
        </is>
      </c>
      <c r="H23" s="5" t="inlineStr">
        <is>
          <t>I,K,R</t>
        </is>
      </c>
      <c r="I23" s="5" t="n">
        <v>12</v>
      </c>
      <c r="J23" s="5" t="inlineStr">
        <is>
          <t>user_supplied</t>
        </is>
      </c>
      <c r="K23" s="5" t="inlineStr">
        <is>
          <t>5/12</t>
        </is>
      </c>
      <c r="L23" s="5" t="inlineStr"/>
      <c r="M23" s="5" t="inlineStr">
        <is>
          <t>assembly1</t>
        </is>
      </c>
      <c r="N23" s="6" t="inlineStr">
        <is>
          <t>DROP (disordered): 5 receptor chains, 3 peptide copies, flagged 'cyclic' in AMPs.xlsx, only 5/12 ordered. Multiple disqualifiers.</t>
        </is>
      </c>
    </row>
    <row r="24">
      <c r="A24" s="5" t="inlineStr">
        <is>
          <t>6Q6W</t>
        </is>
      </c>
      <c r="B24" s="5" t="inlineStr">
        <is>
          <t>AMP data edited.xlsx</t>
        </is>
      </c>
      <c r="C24" s="5" t="n">
        <v>1</v>
      </c>
      <c r="D24" s="5" t="inlineStr">
        <is>
          <t>drop</t>
        </is>
      </c>
      <c r="E24" s="5" t="b">
        <v>0</v>
      </c>
      <c r="F24" s="5" t="inlineStr">
        <is>
          <t>linear</t>
        </is>
      </c>
      <c r="G24" s="5" t="inlineStr">
        <is>
          <t>A</t>
        </is>
      </c>
      <c r="H24" s="5" t="inlineStr">
        <is>
          <t>B</t>
        </is>
      </c>
      <c r="I24" s="5" t="n">
        <v>12</v>
      </c>
      <c r="J24" s="5" t="inlineStr">
        <is>
          <t>user_supplied</t>
        </is>
      </c>
      <c r="K24" s="5" t="inlineStr">
        <is>
          <t>12/12</t>
        </is>
      </c>
      <c r="L24" s="5" t="inlineStr">
        <is>
          <t>DAL;DLE;DLY;DTY</t>
        </is>
      </c>
      <c r="M24" s="5" t="inlineStr">
        <is>
          <t>assembly1</t>
        </is>
      </c>
      <c r="N24" s="6" t="inlineStr">
        <is>
          <t>DROP (D-peptide): receptor = LecB fucose-binding lectin (P. aeruginosa); peptide 'SB5' is a fully D-amino-acid synthetic construct (D-Ala/D-Leu/D-Lys/D-Tyr). Sequence-only predictors can only build the L-enantiomer -- not comparable.</t>
        </is>
      </c>
    </row>
    <row r="25">
      <c r="A25" s="5" t="inlineStr">
        <is>
          <t>6Q77</t>
        </is>
      </c>
      <c r="B25" s="5" t="inlineStr">
        <is>
          <t>AMP data edited.xlsx</t>
        </is>
      </c>
      <c r="C25" s="5" t="n">
        <v>1</v>
      </c>
      <c r="D25" s="5" t="inlineStr">
        <is>
          <t>drop</t>
        </is>
      </c>
      <c r="E25" s="5" t="b">
        <v>0</v>
      </c>
      <c r="F25" s="5" t="inlineStr">
        <is>
          <t>linear</t>
        </is>
      </c>
      <c r="G25" s="5" t="inlineStr">
        <is>
          <t>A</t>
        </is>
      </c>
      <c r="H25" s="5" t="inlineStr">
        <is>
          <t>B</t>
        </is>
      </c>
      <c r="I25" s="5" t="n">
        <v>8</v>
      </c>
      <c r="J25" s="5" t="inlineStr">
        <is>
          <t>user_supplied</t>
        </is>
      </c>
      <c r="K25" s="5" t="inlineStr">
        <is>
          <t>8/8</t>
        </is>
      </c>
      <c r="L25" s="5" t="inlineStr">
        <is>
          <t>DAL;DLE;DLY</t>
        </is>
      </c>
      <c r="M25" s="5" t="inlineStr">
        <is>
          <t>assembly1</t>
        </is>
      </c>
      <c r="N25" s="6" t="inlineStr">
        <is>
          <t>DROP (D-peptide): same LecB receptor; peptide 'SB12' fully D (LKALKKLA, all D). Crashed DockQ (Bio.PDB drops the all-nonstandard chain -&gt; KeyError) during pipeline validation.</t>
        </is>
      </c>
    </row>
    <row r="26">
      <c r="A26" s="5" t="inlineStr">
        <is>
          <t>6Q85</t>
        </is>
      </c>
      <c r="B26" s="5" t="inlineStr">
        <is>
          <t>AMP data edited.xlsx</t>
        </is>
      </c>
      <c r="C26" s="5" t="n">
        <v>3</v>
      </c>
      <c r="D26" s="5" t="inlineStr">
        <is>
          <t>drop</t>
        </is>
      </c>
      <c r="E26" s="5" t="b">
        <v>0</v>
      </c>
      <c r="F26" s="5" t="inlineStr">
        <is>
          <t>linear</t>
        </is>
      </c>
      <c r="G26" s="5" t="inlineStr">
        <is>
          <t>A,B,C,D</t>
        </is>
      </c>
      <c r="H26" s="5" t="inlineStr">
        <is>
          <t>E,F,G,H</t>
        </is>
      </c>
      <c r="I26" s="5" t="n">
        <v>12</v>
      </c>
      <c r="J26" s="5" t="inlineStr">
        <is>
          <t>user_supplied</t>
        </is>
      </c>
      <c r="K26" s="5" t="inlineStr">
        <is>
          <t>12/12</t>
        </is>
      </c>
      <c r="L26" s="5" t="inlineStr">
        <is>
          <t>DAL;DLE;DLY;DTY</t>
        </is>
      </c>
      <c r="M26" s="5" t="inlineStr">
        <is>
          <t>assembly1</t>
        </is>
      </c>
      <c r="N26" s="6" t="inlineStr">
        <is>
          <t>DROP (D-peptide): same LecB receptor; peptide 'SB11' fully D. Also 4 receptor+peptide copies.</t>
        </is>
      </c>
    </row>
    <row r="27">
      <c r="A27" s="5" t="inlineStr">
        <is>
          <t>6Q86</t>
        </is>
      </c>
      <c r="B27" s="5" t="inlineStr">
        <is>
          <t>AMP data edited.xlsx</t>
        </is>
      </c>
      <c r="C27" s="5" t="n">
        <v>3</v>
      </c>
      <c r="D27" s="5" t="inlineStr">
        <is>
          <t>drop</t>
        </is>
      </c>
      <c r="E27" s="5" t="b">
        <v>0</v>
      </c>
      <c r="F27" s="5" t="inlineStr">
        <is>
          <t>linear</t>
        </is>
      </c>
      <c r="G27" s="5" t="inlineStr">
        <is>
          <t>A,B</t>
        </is>
      </c>
      <c r="H27" s="5" t="inlineStr">
        <is>
          <t>C,D</t>
        </is>
      </c>
      <c r="I27" s="5" t="n">
        <v>13</v>
      </c>
      <c r="J27" s="5" t="inlineStr">
        <is>
          <t>user_supplied</t>
        </is>
      </c>
      <c r="K27" s="5" t="inlineStr">
        <is>
          <t>13/13</t>
        </is>
      </c>
      <c r="L27" s="5" t="inlineStr">
        <is>
          <t>DAL;DLE;DLY;DTY</t>
        </is>
      </c>
      <c r="M27" s="5" t="inlineStr">
        <is>
          <t>assembly1</t>
        </is>
      </c>
      <c r="N27" s="6" t="inlineStr">
        <is>
          <t>DROP (D-peptide): same LecB receptor; peptide 'SB4' fully D. Crashed DockQ during pipeline validation (KeyError, same as 6Q77).</t>
        </is>
      </c>
    </row>
    <row r="28">
      <c r="A28" s="5" t="inlineStr">
        <is>
          <t>6Y0W</t>
        </is>
      </c>
      <c r="B28" s="5" t="inlineStr">
        <is>
          <t>AMP data edited.xlsx</t>
        </is>
      </c>
      <c r="C28" s="5" t="n">
        <v>3</v>
      </c>
      <c r="D28" s="5" t="inlineStr">
        <is>
          <t>drop</t>
        </is>
      </c>
      <c r="E28" s="5" t="b">
        <v>0</v>
      </c>
      <c r="F28" s="5" t="inlineStr">
        <is>
          <t>unknown</t>
        </is>
      </c>
      <c r="G28" s="5" t="inlineStr">
        <is>
          <t>A,B</t>
        </is>
      </c>
      <c r="H28" s="5" t="inlineStr">
        <is>
          <t>C,D</t>
        </is>
      </c>
      <c r="I28" s="5" t="n">
        <v>14</v>
      </c>
      <c r="J28" s="5" t="inlineStr">
        <is>
          <t>user_supplied</t>
        </is>
      </c>
      <c r="K28" s="5" t="inlineStr">
        <is>
          <t>13/14</t>
        </is>
      </c>
      <c r="L28" s="5" t="inlineStr">
        <is>
          <t>DAL;DHI;DLE;DLY;DPN;DTR;DTY</t>
        </is>
      </c>
      <c r="M28" s="5" t="inlineStr">
        <is>
          <t>assembly1</t>
        </is>
      </c>
      <c r="N28" s="6" t="inlineStr">
        <is>
          <t>DROP (D-peptide): same LecB receptor; peptide 'cFucRH46D' fully D (7 distinct D-residue types) plus an X in the sequence. Most heavily D-substituted of the set.</t>
        </is>
      </c>
    </row>
    <row r="29">
      <c r="A29" s="5" t="inlineStr">
        <is>
          <t>8ONU</t>
        </is>
      </c>
      <c r="B29" s="5" t="inlineStr">
        <is>
          <t>AMP data edited.xlsx</t>
        </is>
      </c>
      <c r="C29" s="5" t="n">
        <v>2</v>
      </c>
      <c r="D29" s="5" t="inlineStr">
        <is>
          <t>drop</t>
        </is>
      </c>
      <c r="E29" s="5" t="b">
        <v>0</v>
      </c>
      <c r="F29" s="5" t="inlineStr">
        <is>
          <t>unknown</t>
        </is>
      </c>
      <c r="G29" s="5" t="inlineStr">
        <is>
          <t>A</t>
        </is>
      </c>
      <c r="H29" s="5" t="inlineStr">
        <is>
          <t>B</t>
        </is>
      </c>
      <c r="I29" s="5" t="n">
        <v>16</v>
      </c>
      <c r="J29" s="5" t="inlineStr">
        <is>
          <t>user_supplied</t>
        </is>
      </c>
      <c r="K29" s="5" t="inlineStr">
        <is>
          <t>13/16</t>
        </is>
      </c>
      <c r="L29" s="5" t="inlineStr">
        <is>
          <t>DAB;HYP</t>
        </is>
      </c>
      <c r="M29" s="5" t="inlineStr">
        <is>
          <t>assembly1</t>
        </is>
      </c>
      <c r="N29" s="6" t="inlineStr">
        <is>
          <t>DROP (non-standard residues): receptor = LptA (E. coli); peptide is a Thanatin-like derivative containing DAB (2,4-diaminobutyric acid, non-proteinogenic) and HYP (hydroxyproline). RCSB sequence is 'VPITYXNRATXKCARY' -- literal X characters were being written into every tool's input file.</t>
        </is>
      </c>
    </row>
    <row r="30">
      <c r="A30" s="5" t="inlineStr">
        <is>
          <t>4JWI</t>
        </is>
      </c>
      <c r="B30" s="5" t="inlineStr">
        <is>
          <t>rcsb_discovery</t>
        </is>
      </c>
      <c r="C30" s="5" t="n">
        <v>1</v>
      </c>
      <c r="D30" s="5" t="inlineStr">
        <is>
          <t>drop</t>
        </is>
      </c>
      <c r="E30" s="5" t="b">
        <v>0</v>
      </c>
      <c r="F30" s="5" t="inlineStr">
        <is>
          <t>linear</t>
        </is>
      </c>
      <c r="G30" s="5" t="inlineStr">
        <is>
          <t>A</t>
        </is>
      </c>
      <c r="H30" s="5" t="inlineStr">
        <is>
          <t>C</t>
        </is>
      </c>
      <c r="I30" s="5" t="n">
        <v>10</v>
      </c>
      <c r="J30" s="5" t="inlineStr">
        <is>
          <t>rcsb_seqres</t>
        </is>
      </c>
      <c r="K30" s="5" t="inlineStr">
        <is>
          <t>8/10</t>
        </is>
      </c>
      <c r="L30" s="5" t="inlineStr"/>
      <c r="M30" s="5" t="inlineStr">
        <is>
          <t>assembly1</t>
        </is>
      </c>
      <c r="N30" s="6" t="inlineStr">
        <is>
          <t>DROP (unencodable residue): receptor = DnaK (E. coli); peptide 'PRPILLPWRX' -- literal X at the C-terminus (likely a modified/amidated residue with no one-letter code).</t>
        </is>
      </c>
    </row>
    <row r="31">
      <c r="A31" s="5" t="inlineStr">
        <is>
          <t>7NEF</t>
        </is>
      </c>
      <c r="B31" s="5" t="inlineStr">
        <is>
          <t>rcsb_discovery</t>
        </is>
      </c>
      <c r="C31" s="5" t="n">
        <v>1</v>
      </c>
      <c r="D31" s="5" t="inlineStr">
        <is>
          <t>drop</t>
        </is>
      </c>
      <c r="E31" s="5" t="b">
        <v>0</v>
      </c>
      <c r="F31" s="5" t="inlineStr">
        <is>
          <t>linear</t>
        </is>
      </c>
      <c r="G31" s="5" t="inlineStr">
        <is>
          <t>A</t>
        </is>
      </c>
      <c r="H31" s="5" t="inlineStr">
        <is>
          <t>I</t>
        </is>
      </c>
      <c r="I31" s="5" t="n">
        <v>12</v>
      </c>
      <c r="J31" s="5" t="inlineStr">
        <is>
          <t>rcsb_seqres</t>
        </is>
      </c>
      <c r="K31" s="5" t="inlineStr">
        <is>
          <t>11/12</t>
        </is>
      </c>
      <c r="L31" s="5" t="inlineStr"/>
      <c r="M31" s="5" t="inlineStr">
        <is>
          <t>assembly1</t>
        </is>
      </c>
      <c r="N31" s="6" t="inlineStr">
        <is>
          <t>DROP (unencodable residue): receptor = LecB fucose-binding lectin (P. aeruginosa) -- same receptor as the 5 dropped D-peptide targets. Peptide 'KKLLKLLKLLLX' -- literal X at the C-terminus, same pattern as its D-peptide sibling 7NEW. Confirms it's part of the same synthetic-peptide series, not a usable L-control.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9" customWidth="1" min="4" max="4"/>
    <col width="9" customWidth="1" min="5" max="5"/>
    <col width="6" customWidth="1" min="6" max="6"/>
    <col width="7" customWidth="1" min="7" max="7"/>
    <col width="12" customWidth="1" min="8" max="8"/>
    <col width="7" customWidth="1" min="9" max="9"/>
    <col width="7" customWidth="1" min="10" max="10"/>
    <col width="6" customWidth="1" min="11" max="11"/>
    <col width="8" customWidth="1" min="12" max="12"/>
    <col width="6" customWidth="1" min="13" max="13"/>
    <col width="8" customWidth="1" min="14" max="14"/>
    <col width="11" customWidth="1" min="15" max="15"/>
    <col width="11" customWidth="1" min="16" max="16"/>
    <col width="10" customWidth="1" min="17" max="17"/>
    <col width="30" customWidth="1" min="18" max="18"/>
    <col width="30" customWidth="1" min="19" max="19"/>
    <col width="40" customWidth="1" min="20" max="20"/>
    <col width="16" customWidth="1" min="21" max="21"/>
  </cols>
  <sheetData>
    <row r="1">
      <c r="A1" s="4" t="inlineStr">
        <is>
          <t>method</t>
        </is>
      </c>
      <c r="B1" s="4" t="inlineStr">
        <is>
          <t>pdb_id</t>
        </is>
      </c>
      <c r="C1" s="4" t="inlineStr">
        <is>
          <t>tier</t>
        </is>
      </c>
      <c r="D1" s="4" t="inlineStr">
        <is>
          <t>quality</t>
        </is>
      </c>
      <c r="E1" s="4" t="inlineStr">
        <is>
          <t>topology</t>
        </is>
      </c>
      <c r="F1" s="4" t="inlineStr">
        <is>
          <t>rank</t>
        </is>
      </c>
      <c r="G1" s="4" t="inlineStr">
        <is>
          <t>dockq</t>
        </is>
      </c>
      <c r="H1" s="4" t="inlineStr">
        <is>
          <t>capri_class</t>
        </is>
      </c>
      <c r="I1" s="4" t="inlineStr">
        <is>
          <t>irmsd</t>
        </is>
      </c>
      <c r="J1" s="4" t="inlineStr">
        <is>
          <t>lrmsd</t>
        </is>
      </c>
      <c r="K1" s="4" t="inlineStr">
        <is>
          <t>fnat</t>
        </is>
      </c>
      <c r="L1" s="4" t="inlineStr">
        <is>
          <t>fnonnat</t>
        </is>
      </c>
      <c r="M1" s="4" t="inlineStr">
        <is>
          <t>f1</t>
        </is>
      </c>
      <c r="N1" s="4" t="inlineStr">
        <is>
          <t>clashes</t>
        </is>
      </c>
      <c r="O1" s="4" t="inlineStr">
        <is>
          <t>pep_len_model</t>
        </is>
      </c>
      <c r="P1" s="4" t="inlineStr">
        <is>
          <t>pep_len_native</t>
        </is>
      </c>
      <c r="Q1" s="4" t="inlineStr">
        <is>
          <t>mapping</t>
        </is>
      </c>
      <c r="R1" s="4" t="inlineStr">
        <is>
          <t>model_file</t>
        </is>
      </c>
      <c r="S1" s="4" t="inlineStr">
        <is>
          <t>native_file</t>
        </is>
      </c>
      <c r="T1" s="4" t="inlineStr">
        <is>
          <t>note</t>
        </is>
      </c>
      <c r="U1" s="4" t="inlineStr">
        <is>
          <t>_key</t>
        </is>
      </c>
    </row>
    <row r="2">
      <c r="A2" s="5" t="inlineStr">
        <is>
          <t>af3</t>
        </is>
      </c>
      <c r="B2" s="5" t="inlineStr">
        <is>
          <t>4EZS</t>
        </is>
      </c>
      <c r="C2" s="5" t="inlineStr">
        <is>
          <t>1</t>
        </is>
      </c>
      <c r="D2" s="5" t="inlineStr">
        <is>
          <t>ok</t>
        </is>
      </c>
      <c r="E2" s="5" t="inlineStr">
        <is>
          <t>linear</t>
        </is>
      </c>
      <c r="F2" s="5" t="inlineStr">
        <is>
          <t>best</t>
        </is>
      </c>
      <c r="G2" s="5" t="n">
        <v>0.2872</v>
      </c>
      <c r="H2" s="5" t="inlineStr">
        <is>
          <t>acceptable</t>
        </is>
      </c>
      <c r="I2" s="5" t="n">
        <v>3.009</v>
      </c>
      <c r="J2" s="5" t="n">
        <v>8.867000000000001</v>
      </c>
      <c r="K2" s="5" t="n">
        <v>0.184</v>
      </c>
      <c r="L2" s="5" t="n">
        <v>0.804</v>
      </c>
      <c r="M2" s="5" t="n">
        <v>0.189</v>
      </c>
      <c r="N2" s="5" t="n">
        <v>0</v>
      </c>
      <c r="O2" s="5" t="n">
        <v>8</v>
      </c>
      <c r="P2" s="5" t="n">
        <v>8</v>
      </c>
      <c r="Q2" s="5" t="inlineStr">
        <is>
          <t>AB:AB</t>
        </is>
      </c>
      <c r="R2" s="5" t="inlineStr">
        <is>
          <t>predictions\af3\4EZS.pdb</t>
        </is>
      </c>
      <c r="S2" s="5" t="inlineStr">
        <is>
          <t>data\natives\4EZS_native.pdb</t>
        </is>
      </c>
      <c r="T2" s="5" t="inlineStr"/>
      <c r="U2">
        <f>A2&amp;"|"&amp;B2</f>
        <v/>
      </c>
    </row>
    <row r="3">
      <c r="A3" s="5" t="inlineStr">
        <is>
          <t>af3</t>
        </is>
      </c>
      <c r="B3" s="5" t="inlineStr">
        <is>
          <t>6HY2</t>
        </is>
      </c>
      <c r="C3" s="5" t="inlineStr">
        <is>
          <t>1</t>
        </is>
      </c>
      <c r="D3" s="5" t="inlineStr">
        <is>
          <t>ok</t>
        </is>
      </c>
      <c r="E3" s="5" t="inlineStr">
        <is>
          <t>linear</t>
        </is>
      </c>
      <c r="F3" s="5" t="inlineStr">
        <is>
          <t>best</t>
        </is>
      </c>
      <c r="G3" s="5" t="n">
        <v>0.2886</v>
      </c>
      <c r="H3" s="5" t="inlineStr">
        <is>
          <t>acceptable</t>
        </is>
      </c>
      <c r="I3" s="5" t="n">
        <v>3.275</v>
      </c>
      <c r="J3" s="5" t="n">
        <v>7.42</v>
      </c>
      <c r="K3" s="5" t="n">
        <v>0.125</v>
      </c>
      <c r="L3" s="5" t="n">
        <v>0.844</v>
      </c>
      <c r="M3" s="5" t="n">
        <v>0.139</v>
      </c>
      <c r="N3" s="5" t="n">
        <v>0</v>
      </c>
      <c r="O3" s="5" t="n">
        <v>12</v>
      </c>
      <c r="P3" s="5" t="n">
        <v>12</v>
      </c>
      <c r="Q3" s="5" t="inlineStr">
        <is>
          <t>XA:XA</t>
        </is>
      </c>
      <c r="R3" s="5" t="inlineStr">
        <is>
          <t>predictions\af3\6HY2.pdb</t>
        </is>
      </c>
      <c r="S3" s="5" t="inlineStr">
        <is>
          <t>data\natives\6HY2_native.pdb</t>
        </is>
      </c>
      <c r="T3" s="5" t="inlineStr"/>
      <c r="U3">
        <f>A3&amp;"|"&amp;B3</f>
        <v/>
      </c>
    </row>
    <row r="4">
      <c r="A4" s="5" t="inlineStr">
        <is>
          <t>boltz</t>
        </is>
      </c>
      <c r="B4" s="5" t="inlineStr">
        <is>
          <t>6HY2</t>
        </is>
      </c>
      <c r="C4" s="5" t="inlineStr">
        <is>
          <t>1</t>
        </is>
      </c>
      <c r="D4" s="5" t="inlineStr">
        <is>
          <t>ok</t>
        </is>
      </c>
      <c r="E4" s="5" t="inlineStr">
        <is>
          <t>linear</t>
        </is>
      </c>
      <c r="F4" s="5" t="inlineStr">
        <is>
          <t>best</t>
        </is>
      </c>
      <c r="G4" s="5" t="n">
        <v>0.9276</v>
      </c>
      <c r="H4" s="5" t="inlineStr">
        <is>
          <t>high</t>
        </is>
      </c>
      <c r="I4" s="5" t="n">
        <v>0.507</v>
      </c>
      <c r="J4" s="5" t="n">
        <v>1.033</v>
      </c>
      <c r="K4" s="5" t="n">
        <v>0.9</v>
      </c>
      <c r="L4" s="5" t="n">
        <v>0.053</v>
      </c>
      <c r="M4" s="5" t="n">
        <v>0.923</v>
      </c>
      <c r="N4" s="5" t="n">
        <v>0</v>
      </c>
      <c r="O4" s="5" t="n">
        <v>12</v>
      </c>
      <c r="P4" s="5" t="n">
        <v>12</v>
      </c>
      <c r="Q4" s="5" t="inlineStr">
        <is>
          <t>XA:XA</t>
        </is>
      </c>
      <c r="R4" s="5" t="inlineStr">
        <is>
          <t>predictions\boltz\6HY2.pdb</t>
        </is>
      </c>
      <c r="S4" s="5" t="inlineStr">
        <is>
          <t>data\natives\6HY2_native.pdb</t>
        </is>
      </c>
      <c r="T4" s="5" t="inlineStr"/>
      <c r="U4">
        <f>A4&amp;"|"&amp;B4</f>
        <v/>
      </c>
    </row>
    <row r="5">
      <c r="A5" s="5" t="inlineStr">
        <is>
          <t>chai</t>
        </is>
      </c>
      <c r="B5" s="5" t="inlineStr">
        <is>
          <t>4EZS</t>
        </is>
      </c>
      <c r="C5" s="5" t="inlineStr">
        <is>
          <t>1</t>
        </is>
      </c>
      <c r="D5" s="5" t="inlineStr">
        <is>
          <t>ok</t>
        </is>
      </c>
      <c r="E5" s="5" t="inlineStr">
        <is>
          <t>linear</t>
        </is>
      </c>
      <c r="F5" s="5" t="inlineStr">
        <is>
          <t>best</t>
        </is>
      </c>
      <c r="G5" s="5" t="n">
        <v>0.3752</v>
      </c>
      <c r="H5" s="5" t="inlineStr">
        <is>
          <t>acceptable</t>
        </is>
      </c>
      <c r="I5" s="5" t="n">
        <v>2.321</v>
      </c>
      <c r="J5" s="5" t="n">
        <v>7.449</v>
      </c>
      <c r="K5" s="5" t="n">
        <v>0.265</v>
      </c>
      <c r="L5" s="5" t="n">
        <v>0.675</v>
      </c>
      <c r="M5" s="5" t="n">
        <v>0.292</v>
      </c>
      <c r="N5" s="5" t="n">
        <v>0</v>
      </c>
      <c r="O5" s="5" t="n">
        <v>8</v>
      </c>
      <c r="P5" s="5" t="n">
        <v>8</v>
      </c>
      <c r="Q5" s="5" t="inlineStr">
        <is>
          <t>AB:AB</t>
        </is>
      </c>
      <c r="R5" s="5" t="inlineStr">
        <is>
          <t>predictions\chai\4EZS.pdb</t>
        </is>
      </c>
      <c r="S5" s="5" t="inlineStr">
        <is>
          <t>data\natives\4EZS_native.pdb</t>
        </is>
      </c>
      <c r="T5" s="5" t="inlineStr"/>
      <c r="U5">
        <f>A5&amp;"|"&amp;B5</f>
        <v/>
      </c>
    </row>
    <row r="6">
      <c r="A6" s="5" t="inlineStr">
        <is>
          <t>chai</t>
        </is>
      </c>
      <c r="B6" s="5" t="inlineStr">
        <is>
          <t>6HY2</t>
        </is>
      </c>
      <c r="C6" s="5" t="inlineStr">
        <is>
          <t>1</t>
        </is>
      </c>
      <c r="D6" s="5" t="inlineStr">
        <is>
          <t>ok</t>
        </is>
      </c>
      <c r="E6" s="5" t="inlineStr">
        <is>
          <t>linear</t>
        </is>
      </c>
      <c r="F6" s="5" t="inlineStr">
        <is>
          <t>best</t>
        </is>
      </c>
      <c r="G6" s="5" t="n">
        <v>0.2059</v>
      </c>
      <c r="H6" s="5" t="inlineStr">
        <is>
          <t>incorrect</t>
        </is>
      </c>
      <c r="I6" s="5" t="n">
        <v>4.578</v>
      </c>
      <c r="J6" s="5" t="n">
        <v>12.369</v>
      </c>
      <c r="K6" s="5" t="n">
        <v>0.2</v>
      </c>
      <c r="L6" s="5" t="n">
        <v>0.667</v>
      </c>
      <c r="M6" s="5" t="n">
        <v>0.25</v>
      </c>
      <c r="N6" s="5" t="n">
        <v>0</v>
      </c>
      <c r="O6" s="5" t="n">
        <v>12</v>
      </c>
      <c r="P6" s="5" t="n">
        <v>12</v>
      </c>
      <c r="Q6" s="5" t="inlineStr">
        <is>
          <t>XA:XA</t>
        </is>
      </c>
      <c r="R6" s="5" t="inlineStr">
        <is>
          <t>predictions\chai\6HY2.pdb</t>
        </is>
      </c>
      <c r="S6" s="5" t="inlineStr">
        <is>
          <t>data\natives\6HY2_native.pdb</t>
        </is>
      </c>
      <c r="T6" s="5" t="inlineStr"/>
      <c r="U6">
        <f>A6&amp;"|"&amp;B6</f>
        <v/>
      </c>
    </row>
    <row r="7">
      <c r="A7" s="5" t="inlineStr">
        <is>
          <t>protenix</t>
        </is>
      </c>
      <c r="B7" s="5" t="inlineStr">
        <is>
          <t>4EZS</t>
        </is>
      </c>
      <c r="C7" s="5" t="inlineStr">
        <is>
          <t>1</t>
        </is>
      </c>
      <c r="D7" s="5" t="inlineStr">
        <is>
          <t>ok</t>
        </is>
      </c>
      <c r="E7" s="5" t="inlineStr">
        <is>
          <t>linear</t>
        </is>
      </c>
      <c r="F7" s="5" t="inlineStr">
        <is>
          <t>best</t>
        </is>
      </c>
      <c r="G7" s="5" t="n">
        <v>0.9254</v>
      </c>
      <c r="H7" s="5" t="inlineStr">
        <is>
          <t>high</t>
        </is>
      </c>
      <c r="I7" s="5" t="n">
        <v>0.664</v>
      </c>
      <c r="J7" s="5" t="n">
        <v>1.183</v>
      </c>
      <c r="K7" s="5" t="n">
        <v>0.959</v>
      </c>
      <c r="L7" s="5" t="n">
        <v>0.078</v>
      </c>
      <c r="M7" s="5" t="n">
        <v>0.9399999999999999</v>
      </c>
      <c r="N7" s="5" t="n">
        <v>0</v>
      </c>
      <c r="O7" s="5" t="n">
        <v>8</v>
      </c>
      <c r="P7" s="5" t="n">
        <v>8</v>
      </c>
      <c r="Q7" s="5" t="inlineStr">
        <is>
          <t>AB:AB</t>
        </is>
      </c>
      <c r="R7" s="5" t="inlineStr">
        <is>
          <t>predictions\protenix\4EZS.pdb</t>
        </is>
      </c>
      <c r="S7" s="5" t="inlineStr">
        <is>
          <t>data\natives\4EZS_native.pdb</t>
        </is>
      </c>
      <c r="T7" s="5" t="inlineStr"/>
      <c r="U7">
        <f>A7&amp;"|"&amp;B7</f>
        <v/>
      </c>
    </row>
    <row r="8">
      <c r="A8" s="5" t="inlineStr">
        <is>
          <t>protenix</t>
        </is>
      </c>
      <c r="B8" s="5" t="inlineStr">
        <is>
          <t>6HY2</t>
        </is>
      </c>
      <c r="C8" s="5" t="inlineStr">
        <is>
          <t>1</t>
        </is>
      </c>
      <c r="D8" s="5" t="inlineStr">
        <is>
          <t>ok</t>
        </is>
      </c>
      <c r="E8" s="5" t="inlineStr">
        <is>
          <t>linear</t>
        </is>
      </c>
      <c r="F8" s="5" t="inlineStr">
        <is>
          <t>best</t>
        </is>
      </c>
      <c r="G8" s="5" t="n">
        <v>0.6853</v>
      </c>
      <c r="H8" s="5" t="inlineStr">
        <is>
          <t>medium</t>
        </is>
      </c>
      <c r="I8" s="5" t="n">
        <v>1.464</v>
      </c>
      <c r="J8" s="5" t="n">
        <v>3.657</v>
      </c>
      <c r="K8" s="5" t="n">
        <v>0.7</v>
      </c>
      <c r="L8" s="5" t="n">
        <v>0.2</v>
      </c>
      <c r="M8" s="5" t="n">
        <v>0.747</v>
      </c>
      <c r="N8" s="5" t="n">
        <v>1</v>
      </c>
      <c r="O8" s="5" t="n">
        <v>12</v>
      </c>
      <c r="P8" s="5" t="n">
        <v>12</v>
      </c>
      <c r="Q8" s="5" t="inlineStr">
        <is>
          <t>XA:XA</t>
        </is>
      </c>
      <c r="R8" s="5" t="inlineStr">
        <is>
          <t>predictions\protenix\6HY2.pdb</t>
        </is>
      </c>
      <c r="S8" s="5" t="inlineStr">
        <is>
          <t>data\natives\6HY2_native.pdb</t>
        </is>
      </c>
      <c r="T8" s="5" t="inlineStr"/>
      <c r="U8">
        <f>A8&amp;"|"&amp;B8</f>
        <v/>
      </c>
    </row>
    <row r="9">
      <c r="A9" s="5" t="inlineStr">
        <is>
          <t>afmultimer</t>
        </is>
      </c>
      <c r="B9" s="5" t="inlineStr">
        <is>
          <t>6Z2P</t>
        </is>
      </c>
      <c r="C9" s="5" t="inlineStr">
        <is>
          <t>2</t>
        </is>
      </c>
      <c r="D9" s="5" t="inlineStr">
        <is>
          <t>caution</t>
        </is>
      </c>
      <c r="E9" s="5" t="inlineStr">
        <is>
          <t>linear</t>
        </is>
      </c>
      <c r="F9" s="5" t="inlineStr">
        <is>
          <t>best</t>
        </is>
      </c>
      <c r="G9" s="5" t="n">
        <v>0.1705</v>
      </c>
      <c r="H9" s="5" t="inlineStr">
        <is>
          <t>incorrect</t>
        </is>
      </c>
      <c r="I9" s="5" t="n">
        <v>4.887</v>
      </c>
      <c r="J9" s="5" t="n">
        <v>14.387</v>
      </c>
      <c r="K9" s="5" t="n">
        <v>0.167</v>
      </c>
      <c r="L9" s="5" t="n">
        <v>0.895</v>
      </c>
      <c r="M9" s="5" t="n">
        <v>0.129</v>
      </c>
      <c r="N9" s="5" t="n">
        <v>4</v>
      </c>
      <c r="O9" s="5" t="n">
        <v>10</v>
      </c>
      <c r="P9" s="5" t="n">
        <v>19</v>
      </c>
      <c r="Q9" s="5" t="inlineStr">
        <is>
          <t>AC:AC</t>
        </is>
      </c>
      <c r="R9" s="5" t="inlineStr">
        <is>
          <t>predictions\afmultimer\6Z2P.pdb</t>
        </is>
      </c>
      <c r="S9" s="5" t="inlineStr">
        <is>
          <t>data\natives\6Z2P_native.pdb</t>
        </is>
      </c>
      <c r="T9" s="5" t="inlineStr"/>
      <c r="U9">
        <f>A9&amp;"|"&amp;B9</f>
        <v/>
      </c>
    </row>
    <row r="10">
      <c r="A10" s="5" t="inlineStr">
        <is>
          <t>afmultimer</t>
        </is>
      </c>
      <c r="B10" s="5" t="inlineStr">
        <is>
          <t>8GAL</t>
        </is>
      </c>
      <c r="C10" s="5" t="inlineStr">
        <is>
          <t>3</t>
        </is>
      </c>
      <c r="D10" s="5" t="inlineStr">
        <is>
          <t>ok</t>
        </is>
      </c>
      <c r="E10" s="5" t="inlineStr">
        <is>
          <t>linear</t>
        </is>
      </c>
      <c r="F10" s="5" t="inlineStr">
        <is>
          <t>best</t>
        </is>
      </c>
      <c r="G10" s="5" t="n">
        <v>0.7462</v>
      </c>
      <c r="H10" s="5" t="inlineStr">
        <is>
          <t>medium</t>
        </is>
      </c>
      <c r="I10" s="5" t="n">
        <v>0.88</v>
      </c>
      <c r="J10" s="5" t="n">
        <v>5.737</v>
      </c>
      <c r="K10" s="5" t="n">
        <v>0.8080000000000001</v>
      </c>
      <c r="L10" s="5" t="n">
        <v>0.16</v>
      </c>
      <c r="M10" s="5" t="n">
        <v>0.824</v>
      </c>
      <c r="N10" s="5" t="n">
        <v>0</v>
      </c>
      <c r="O10" s="5" t="n">
        <v>18</v>
      </c>
      <c r="P10" s="5" t="n">
        <v>20</v>
      </c>
      <c r="Q10" s="5" t="inlineStr">
        <is>
          <t>AB:AB</t>
        </is>
      </c>
      <c r="R10" s="5" t="inlineStr">
        <is>
          <t>predictions\afmultimer\8GAL.pdb</t>
        </is>
      </c>
      <c r="S10" s="5" t="inlineStr">
        <is>
          <t>data\natives\8GAL_native.pdb</t>
        </is>
      </c>
      <c r="T10" s="5" t="inlineStr"/>
      <c r="U10">
        <f>A10&amp;"|"&amp;B10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  <col width="18" customWidth="1" min="5" max="5"/>
    <col width="16" customWidth="1" min="6" max="6"/>
    <col width="15" customWidth="1" min="7" max="7"/>
    <col width="11" customWidth="1" min="8" max="8"/>
    <col width="10" customWidth="1" min="9" max="9"/>
  </cols>
  <sheetData>
    <row r="1">
      <c r="A1" s="4" t="inlineStr">
        <is>
          <t>method</t>
        </is>
      </c>
      <c r="B1" s="4" t="inlineStr">
        <is>
          <t>n_scored</t>
        </is>
      </c>
      <c r="C1" s="4" t="inlineStr">
        <is>
          <t>n_error</t>
        </is>
      </c>
      <c r="D1" s="4" t="inlineStr">
        <is>
          <t>dockq_mean</t>
        </is>
      </c>
      <c r="E1" s="4" t="inlineStr">
        <is>
          <t>pct_acceptable_ge_0.23</t>
        </is>
      </c>
      <c r="F1" s="4" t="inlineStr">
        <is>
          <t>pct_medium_ge_0.49</t>
        </is>
      </c>
      <c r="G1" s="4" t="inlineStr">
        <is>
          <t>pct_high_ge_0.80</t>
        </is>
      </c>
      <c r="H1" s="4" t="inlineStr">
        <is>
          <t>mean_irmsd</t>
        </is>
      </c>
      <c r="I1" s="4" t="inlineStr">
        <is>
          <t>mean_fnat</t>
        </is>
      </c>
    </row>
    <row r="2">
      <c r="A2" s="5" t="inlineStr">
        <is>
          <t>af3</t>
        </is>
      </c>
      <c r="B2" s="5">
        <f>COUNTIFS('DockQ Results'!$A$2:$A$10,A2,'DockQ Results'!$G$2:$G$10,"&lt;&gt;")</f>
        <v/>
      </c>
      <c r="C2" s="5">
        <f>COUNTIFS('DockQ Results'!$A$2:$A$10,A2,'DockQ Results'!$T$2:$T$10,"ERROR*")</f>
        <v/>
      </c>
      <c r="D2" s="7">
        <f>IFERROR(AVERAGEIFS('DockQ Results'!$G$2:$G$10,'DockQ Results'!$A$2:$A$10,A2,'DockQ Results'!$G$2:$G$10,"&lt;&gt;"),"")</f>
        <v/>
      </c>
      <c r="E2" s="8">
        <f>IFERROR(COUNTIFS('DockQ Results'!$A$2:$A$10,A2,'DockQ Results'!$G$2:$G$10,"&gt;=0.23")/B2,"")</f>
        <v/>
      </c>
      <c r="F2" s="8">
        <f>IFERROR(COUNTIFS('DockQ Results'!$A$2:$A$10,A2,'DockQ Results'!$G$2:$G$10,"&gt;=0.49")/B2,"")</f>
        <v/>
      </c>
      <c r="G2" s="8">
        <f>IFERROR(COUNTIFS('DockQ Results'!$A$2:$A$10,A2,'DockQ Results'!$G$2:$G$10,"&gt;=0.80")/B2,"")</f>
        <v/>
      </c>
      <c r="H2" s="7">
        <f>IFERROR(AVERAGEIFS('DockQ Results'!$I$2:$I$10,'DockQ Results'!$A$2:$A$10,A2,'DockQ Results'!$G$2:$G$10,"&lt;&gt;"),"")</f>
        <v/>
      </c>
      <c r="I2" s="7">
        <f>IFERROR(AVERAGEIFS('DockQ Results'!$K$2:$K$10,'DockQ Results'!$A$2:$A$10,A2,'DockQ Results'!$G$2:$G$10,"&lt;&gt;"),"")</f>
        <v/>
      </c>
    </row>
    <row r="3">
      <c r="A3" s="5" t="inlineStr">
        <is>
          <t>afmultimer</t>
        </is>
      </c>
      <c r="B3" s="5">
        <f>COUNTIFS('DockQ Results'!$A$2:$A$10,A3,'DockQ Results'!$G$2:$G$10,"&lt;&gt;")</f>
        <v/>
      </c>
      <c r="C3" s="5">
        <f>COUNTIFS('DockQ Results'!$A$2:$A$10,A3,'DockQ Results'!$T$2:$T$10,"ERROR*")</f>
        <v/>
      </c>
      <c r="D3" s="7">
        <f>IFERROR(AVERAGEIFS('DockQ Results'!$G$2:$G$10,'DockQ Results'!$A$2:$A$10,A3,'DockQ Results'!$G$2:$G$10,"&lt;&gt;"),"")</f>
        <v/>
      </c>
      <c r="E3" s="8">
        <f>IFERROR(COUNTIFS('DockQ Results'!$A$2:$A$10,A3,'DockQ Results'!$G$2:$G$10,"&gt;=0.23")/B3,"")</f>
        <v/>
      </c>
      <c r="F3" s="8">
        <f>IFERROR(COUNTIFS('DockQ Results'!$A$2:$A$10,A3,'DockQ Results'!$G$2:$G$10,"&gt;=0.49")/B3,"")</f>
        <v/>
      </c>
      <c r="G3" s="8">
        <f>IFERROR(COUNTIFS('DockQ Results'!$A$2:$A$10,A3,'DockQ Results'!$G$2:$G$10,"&gt;=0.80")/B3,"")</f>
        <v/>
      </c>
      <c r="H3" s="7">
        <f>IFERROR(AVERAGEIFS('DockQ Results'!$I$2:$I$10,'DockQ Results'!$A$2:$A$10,A3,'DockQ Results'!$G$2:$G$10,"&lt;&gt;"),"")</f>
        <v/>
      </c>
      <c r="I3" s="7">
        <f>IFERROR(AVERAGEIFS('DockQ Results'!$K$2:$K$10,'DockQ Results'!$A$2:$A$10,A3,'DockQ Results'!$G$2:$G$10,"&lt;&gt;"),"")</f>
        <v/>
      </c>
    </row>
    <row r="4">
      <c r="A4" s="5" t="inlineStr">
        <is>
          <t>boltz</t>
        </is>
      </c>
      <c r="B4" s="5">
        <f>COUNTIFS('DockQ Results'!$A$2:$A$10,A4,'DockQ Results'!$G$2:$G$10,"&lt;&gt;")</f>
        <v/>
      </c>
      <c r="C4" s="5">
        <f>COUNTIFS('DockQ Results'!$A$2:$A$10,A4,'DockQ Results'!$T$2:$T$10,"ERROR*")</f>
        <v/>
      </c>
      <c r="D4" s="7">
        <f>IFERROR(AVERAGEIFS('DockQ Results'!$G$2:$G$10,'DockQ Results'!$A$2:$A$10,A4,'DockQ Results'!$G$2:$G$10,"&lt;&gt;"),"")</f>
        <v/>
      </c>
      <c r="E4" s="8">
        <f>IFERROR(COUNTIFS('DockQ Results'!$A$2:$A$10,A4,'DockQ Results'!$G$2:$G$10,"&gt;=0.23")/B4,"")</f>
        <v/>
      </c>
      <c r="F4" s="8">
        <f>IFERROR(COUNTIFS('DockQ Results'!$A$2:$A$10,A4,'DockQ Results'!$G$2:$G$10,"&gt;=0.49")/B4,"")</f>
        <v/>
      </c>
      <c r="G4" s="8">
        <f>IFERROR(COUNTIFS('DockQ Results'!$A$2:$A$10,A4,'DockQ Results'!$G$2:$G$10,"&gt;=0.80")/B4,"")</f>
        <v/>
      </c>
      <c r="H4" s="7">
        <f>IFERROR(AVERAGEIFS('DockQ Results'!$I$2:$I$10,'DockQ Results'!$A$2:$A$10,A4,'DockQ Results'!$G$2:$G$10,"&lt;&gt;"),"")</f>
        <v/>
      </c>
      <c r="I4" s="7">
        <f>IFERROR(AVERAGEIFS('DockQ Results'!$K$2:$K$10,'DockQ Results'!$A$2:$A$10,A4,'DockQ Results'!$G$2:$G$10,"&lt;&gt;"),"")</f>
        <v/>
      </c>
    </row>
    <row r="5">
      <c r="A5" s="5" t="inlineStr">
        <is>
          <t>chai</t>
        </is>
      </c>
      <c r="B5" s="5">
        <f>COUNTIFS('DockQ Results'!$A$2:$A$10,A5,'DockQ Results'!$G$2:$G$10,"&lt;&gt;")</f>
        <v/>
      </c>
      <c r="C5" s="5">
        <f>COUNTIFS('DockQ Results'!$A$2:$A$10,A5,'DockQ Results'!$T$2:$T$10,"ERROR*")</f>
        <v/>
      </c>
      <c r="D5" s="7">
        <f>IFERROR(AVERAGEIFS('DockQ Results'!$G$2:$G$10,'DockQ Results'!$A$2:$A$10,A5,'DockQ Results'!$G$2:$G$10,"&lt;&gt;"),"")</f>
        <v/>
      </c>
      <c r="E5" s="8">
        <f>IFERROR(COUNTIFS('DockQ Results'!$A$2:$A$10,A5,'DockQ Results'!$G$2:$G$10,"&gt;=0.23")/B5,"")</f>
        <v/>
      </c>
      <c r="F5" s="8">
        <f>IFERROR(COUNTIFS('DockQ Results'!$A$2:$A$10,A5,'DockQ Results'!$G$2:$G$10,"&gt;=0.49")/B5,"")</f>
        <v/>
      </c>
      <c r="G5" s="8">
        <f>IFERROR(COUNTIFS('DockQ Results'!$A$2:$A$10,A5,'DockQ Results'!$G$2:$G$10,"&gt;=0.80")/B5,"")</f>
        <v/>
      </c>
      <c r="H5" s="7">
        <f>IFERROR(AVERAGEIFS('DockQ Results'!$I$2:$I$10,'DockQ Results'!$A$2:$A$10,A5,'DockQ Results'!$G$2:$G$10,"&lt;&gt;"),"")</f>
        <v/>
      </c>
      <c r="I5" s="7">
        <f>IFERROR(AVERAGEIFS('DockQ Results'!$K$2:$K$10,'DockQ Results'!$A$2:$A$10,A5,'DockQ Results'!$G$2:$G$10,"&lt;&gt;"),"")</f>
        <v/>
      </c>
    </row>
    <row r="6">
      <c r="A6" s="5" t="inlineStr">
        <is>
          <t>protenix</t>
        </is>
      </c>
      <c r="B6" s="5">
        <f>COUNTIFS('DockQ Results'!$A$2:$A$10,A6,'DockQ Results'!$G$2:$G$10,"&lt;&gt;")</f>
        <v/>
      </c>
      <c r="C6" s="5">
        <f>COUNTIFS('DockQ Results'!$A$2:$A$10,A6,'DockQ Results'!$T$2:$T$10,"ERROR*")</f>
        <v/>
      </c>
      <c r="D6" s="7">
        <f>IFERROR(AVERAGEIFS('DockQ Results'!$G$2:$G$10,'DockQ Results'!$A$2:$A$10,A6,'DockQ Results'!$G$2:$G$10,"&lt;&gt;"),"")</f>
        <v/>
      </c>
      <c r="E6" s="8">
        <f>IFERROR(COUNTIFS('DockQ Results'!$A$2:$A$10,A6,'DockQ Results'!$G$2:$G$10,"&gt;=0.23")/B6,"")</f>
        <v/>
      </c>
      <c r="F6" s="8">
        <f>IFERROR(COUNTIFS('DockQ Results'!$A$2:$A$10,A6,'DockQ Results'!$G$2:$G$10,"&gt;=0.49")/B6,"")</f>
        <v/>
      </c>
      <c r="G6" s="8">
        <f>IFERROR(COUNTIFS('DockQ Results'!$A$2:$A$10,A6,'DockQ Results'!$G$2:$G$10,"&gt;=0.80")/B6,"")</f>
        <v/>
      </c>
      <c r="H6" s="7">
        <f>IFERROR(AVERAGEIFS('DockQ Results'!$I$2:$I$10,'DockQ Results'!$A$2:$A$10,A6,'DockQ Results'!$G$2:$G$10,"&lt;&gt;"),"")</f>
        <v/>
      </c>
      <c r="I6" s="7">
        <f>IFERROR(AVERAGEIFS('DockQ Results'!$K$2:$K$10,'DockQ Results'!$A$2:$A$10,A6,'DockQ Results'!$G$2:$G$10,"&lt;&gt;"),"")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4" t="inlineStr">
        <is>
          <t>pdb_id</t>
        </is>
      </c>
      <c r="B1" s="4" t="inlineStr">
        <is>
          <t>tier</t>
        </is>
      </c>
      <c r="C1" s="4" t="inlineStr">
        <is>
          <t>quality</t>
        </is>
      </c>
      <c r="D1" s="4" t="inlineStr">
        <is>
          <t>af3</t>
        </is>
      </c>
      <c r="E1" s="4" t="inlineStr">
        <is>
          <t>afmultimer</t>
        </is>
      </c>
      <c r="F1" s="4" t="inlineStr">
        <is>
          <t>boltz</t>
        </is>
      </c>
      <c r="G1" s="4" t="inlineStr">
        <is>
          <t>chai</t>
        </is>
      </c>
      <c r="H1" s="4" t="inlineStr">
        <is>
          <t>protenix</t>
        </is>
      </c>
    </row>
    <row r="2">
      <c r="A2" s="5" t="inlineStr">
        <is>
          <t>2HD4</t>
        </is>
      </c>
      <c r="B2" s="5" t="n">
        <v>1</v>
      </c>
      <c r="C2" s="5" t="inlineStr">
        <is>
          <t>ok</t>
        </is>
      </c>
      <c r="D2" s="5">
        <f>IFERROR(INDEX('DockQ Results'!$G$2:$G$10,MATCH(D$1&amp;"|"&amp;$A2,'DockQ Results'!$U$2:$U$10,0)),"-")</f>
        <v/>
      </c>
      <c r="E2" s="5">
        <f>IFERROR(INDEX('DockQ Results'!$G$2:$G$10,MATCH(E$1&amp;"|"&amp;$A2,'DockQ Results'!$U$2:$U$10,0)),"-")</f>
        <v/>
      </c>
      <c r="F2" s="5">
        <f>IFERROR(INDEX('DockQ Results'!$G$2:$G$10,MATCH(F$1&amp;"|"&amp;$A2,'DockQ Results'!$U$2:$U$10,0)),"-")</f>
        <v/>
      </c>
      <c r="G2" s="5">
        <f>IFERROR(INDEX('DockQ Results'!$G$2:$G$10,MATCH(G$1&amp;"|"&amp;$A2,'DockQ Results'!$U$2:$U$10,0)),"-")</f>
        <v/>
      </c>
      <c r="H2" s="5">
        <f>IFERROR(INDEX('DockQ Results'!$G$2:$G$10,MATCH(H$1&amp;"|"&amp;$A2,'DockQ Results'!$U$2:$U$10,0)),"-")</f>
        <v/>
      </c>
    </row>
    <row r="3">
      <c r="A3" s="5" t="inlineStr">
        <is>
          <t>4E81</t>
        </is>
      </c>
      <c r="B3" s="5" t="n">
        <v>1</v>
      </c>
      <c r="C3" s="5" t="inlineStr">
        <is>
          <t>ok</t>
        </is>
      </c>
      <c r="D3" s="5">
        <f>IFERROR(INDEX('DockQ Results'!$G$2:$G$10,MATCH(D$1&amp;"|"&amp;$A3,'DockQ Results'!$U$2:$U$10,0)),"-")</f>
        <v/>
      </c>
      <c r="E3" s="5">
        <f>IFERROR(INDEX('DockQ Results'!$G$2:$G$10,MATCH(E$1&amp;"|"&amp;$A3,'DockQ Results'!$U$2:$U$10,0)),"-")</f>
        <v/>
      </c>
      <c r="F3" s="5">
        <f>IFERROR(INDEX('DockQ Results'!$G$2:$G$10,MATCH(F$1&amp;"|"&amp;$A3,'DockQ Results'!$U$2:$U$10,0)),"-")</f>
        <v/>
      </c>
      <c r="G3" s="5">
        <f>IFERROR(INDEX('DockQ Results'!$G$2:$G$10,MATCH(G$1&amp;"|"&amp;$A3,'DockQ Results'!$U$2:$U$10,0)),"-")</f>
        <v/>
      </c>
      <c r="H3" s="5">
        <f>IFERROR(INDEX('DockQ Results'!$G$2:$G$10,MATCH(H$1&amp;"|"&amp;$A3,'DockQ Results'!$U$2:$U$10,0)),"-")</f>
        <v/>
      </c>
    </row>
    <row r="4">
      <c r="A4" s="5" t="inlineStr">
        <is>
          <t>4EZQ</t>
        </is>
      </c>
      <c r="B4" s="5" t="n">
        <v>1</v>
      </c>
      <c r="C4" s="5" t="inlineStr">
        <is>
          <t>caution</t>
        </is>
      </c>
      <c r="D4" s="5">
        <f>IFERROR(INDEX('DockQ Results'!$G$2:$G$10,MATCH(D$1&amp;"|"&amp;$A4,'DockQ Results'!$U$2:$U$10,0)),"-")</f>
        <v/>
      </c>
      <c r="E4" s="5">
        <f>IFERROR(INDEX('DockQ Results'!$G$2:$G$10,MATCH(E$1&amp;"|"&amp;$A4,'DockQ Results'!$U$2:$U$10,0)),"-")</f>
        <v/>
      </c>
      <c r="F4" s="5">
        <f>IFERROR(INDEX('DockQ Results'!$G$2:$G$10,MATCH(F$1&amp;"|"&amp;$A4,'DockQ Results'!$U$2:$U$10,0)),"-")</f>
        <v/>
      </c>
      <c r="G4" s="5">
        <f>IFERROR(INDEX('DockQ Results'!$G$2:$G$10,MATCH(G$1&amp;"|"&amp;$A4,'DockQ Results'!$U$2:$U$10,0)),"-")</f>
        <v/>
      </c>
      <c r="H4" s="5">
        <f>IFERROR(INDEX('DockQ Results'!$G$2:$G$10,MATCH(H$1&amp;"|"&amp;$A4,'DockQ Results'!$U$2:$U$10,0)),"-")</f>
        <v/>
      </c>
    </row>
    <row r="5">
      <c r="A5" s="5" t="inlineStr">
        <is>
          <t>4EZR</t>
        </is>
      </c>
      <c r="B5" s="5" t="n">
        <v>1</v>
      </c>
      <c r="C5" s="5" t="inlineStr">
        <is>
          <t>ok</t>
        </is>
      </c>
      <c r="D5" s="5">
        <f>IFERROR(INDEX('DockQ Results'!$G$2:$G$10,MATCH(D$1&amp;"|"&amp;$A5,'DockQ Results'!$U$2:$U$10,0)),"-")</f>
        <v/>
      </c>
      <c r="E5" s="5">
        <f>IFERROR(INDEX('DockQ Results'!$G$2:$G$10,MATCH(E$1&amp;"|"&amp;$A5,'DockQ Results'!$U$2:$U$10,0)),"-")</f>
        <v/>
      </c>
      <c r="F5" s="5">
        <f>IFERROR(INDEX('DockQ Results'!$G$2:$G$10,MATCH(F$1&amp;"|"&amp;$A5,'DockQ Results'!$U$2:$U$10,0)),"-")</f>
        <v/>
      </c>
      <c r="G5" s="5">
        <f>IFERROR(INDEX('DockQ Results'!$G$2:$G$10,MATCH(G$1&amp;"|"&amp;$A5,'DockQ Results'!$U$2:$U$10,0)),"-")</f>
        <v/>
      </c>
      <c r="H5" s="5">
        <f>IFERROR(INDEX('DockQ Results'!$G$2:$G$10,MATCH(H$1&amp;"|"&amp;$A5,'DockQ Results'!$U$2:$U$10,0)),"-")</f>
        <v/>
      </c>
    </row>
    <row r="6">
      <c r="A6" s="5" t="inlineStr">
        <is>
          <t>4EZS</t>
        </is>
      </c>
      <c r="B6" s="5" t="n">
        <v>1</v>
      </c>
      <c r="C6" s="5" t="inlineStr">
        <is>
          <t>ok</t>
        </is>
      </c>
      <c r="D6" s="5">
        <f>IFERROR(INDEX('DockQ Results'!$G$2:$G$10,MATCH(D$1&amp;"|"&amp;$A6,'DockQ Results'!$U$2:$U$10,0)),"-")</f>
        <v/>
      </c>
      <c r="E6" s="5">
        <f>IFERROR(INDEX('DockQ Results'!$G$2:$G$10,MATCH(E$1&amp;"|"&amp;$A6,'DockQ Results'!$U$2:$U$10,0)),"-")</f>
        <v/>
      </c>
      <c r="F6" s="5">
        <f>IFERROR(INDEX('DockQ Results'!$G$2:$G$10,MATCH(F$1&amp;"|"&amp;$A6,'DockQ Results'!$U$2:$U$10,0)),"-")</f>
        <v/>
      </c>
      <c r="G6" s="5">
        <f>IFERROR(INDEX('DockQ Results'!$G$2:$G$10,MATCH(G$1&amp;"|"&amp;$A6,'DockQ Results'!$U$2:$U$10,0)),"-")</f>
        <v/>
      </c>
      <c r="H6" s="5">
        <f>IFERROR(INDEX('DockQ Results'!$G$2:$G$10,MATCH(H$1&amp;"|"&amp;$A6,'DockQ Results'!$U$2:$U$10,0)),"-")</f>
        <v/>
      </c>
    </row>
    <row r="7">
      <c r="A7" s="5" t="inlineStr">
        <is>
          <t>4N6P</t>
        </is>
      </c>
      <c r="B7" s="5" t="n">
        <v>1</v>
      </c>
      <c r="C7" s="5" t="inlineStr">
        <is>
          <t>ok</t>
        </is>
      </c>
      <c r="D7" s="5">
        <f>IFERROR(INDEX('DockQ Results'!$G$2:$G$10,MATCH(D$1&amp;"|"&amp;$A7,'DockQ Results'!$U$2:$U$10,0)),"-")</f>
        <v/>
      </c>
      <c r="E7" s="5">
        <f>IFERROR(INDEX('DockQ Results'!$G$2:$G$10,MATCH(E$1&amp;"|"&amp;$A7,'DockQ Results'!$U$2:$U$10,0)),"-")</f>
        <v/>
      </c>
      <c r="F7" s="5">
        <f>IFERROR(INDEX('DockQ Results'!$G$2:$G$10,MATCH(F$1&amp;"|"&amp;$A7,'DockQ Results'!$U$2:$U$10,0)),"-")</f>
        <v/>
      </c>
      <c r="G7" s="5">
        <f>IFERROR(INDEX('DockQ Results'!$G$2:$G$10,MATCH(G$1&amp;"|"&amp;$A7,'DockQ Results'!$U$2:$U$10,0)),"-")</f>
        <v/>
      </c>
      <c r="H7" s="5">
        <f>IFERROR(INDEX('DockQ Results'!$G$2:$G$10,MATCH(H$1&amp;"|"&amp;$A7,'DockQ Results'!$U$2:$U$10,0)),"-")</f>
        <v/>
      </c>
    </row>
    <row r="8">
      <c r="A8" s="5" t="inlineStr">
        <is>
          <t>6HY2</t>
        </is>
      </c>
      <c r="B8" s="5" t="n">
        <v>1</v>
      </c>
      <c r="C8" s="5" t="inlineStr">
        <is>
          <t>ok</t>
        </is>
      </c>
      <c r="D8" s="5">
        <f>IFERROR(INDEX('DockQ Results'!$G$2:$G$10,MATCH(D$1&amp;"|"&amp;$A8,'DockQ Results'!$U$2:$U$10,0)),"-")</f>
        <v/>
      </c>
      <c r="E8" s="5">
        <f>IFERROR(INDEX('DockQ Results'!$G$2:$G$10,MATCH(E$1&amp;"|"&amp;$A8,'DockQ Results'!$U$2:$U$10,0)),"-")</f>
        <v/>
      </c>
      <c r="F8" s="5">
        <f>IFERROR(INDEX('DockQ Results'!$G$2:$G$10,MATCH(F$1&amp;"|"&amp;$A8,'DockQ Results'!$U$2:$U$10,0)),"-")</f>
        <v/>
      </c>
      <c r="G8" s="5">
        <f>IFERROR(INDEX('DockQ Results'!$G$2:$G$10,MATCH(G$1&amp;"|"&amp;$A8,'DockQ Results'!$U$2:$U$10,0)),"-")</f>
        <v/>
      </c>
      <c r="H8" s="5">
        <f>IFERROR(INDEX('DockQ Results'!$G$2:$G$10,MATCH(H$1&amp;"|"&amp;$A8,'DockQ Results'!$U$2:$U$10,0)),"-")</f>
        <v/>
      </c>
    </row>
    <row r="9">
      <c r="A9" s="5" t="inlineStr">
        <is>
          <t>3QRX</t>
        </is>
      </c>
      <c r="B9" s="5" t="n">
        <v>2</v>
      </c>
      <c r="C9" s="5" t="inlineStr">
        <is>
          <t>caution</t>
        </is>
      </c>
      <c r="D9" s="5">
        <f>IFERROR(INDEX('DockQ Results'!$G$2:$G$10,MATCH(D$1&amp;"|"&amp;$A9,'DockQ Results'!$U$2:$U$10,0)),"-")</f>
        <v/>
      </c>
      <c r="E9" s="5">
        <f>IFERROR(INDEX('DockQ Results'!$G$2:$G$10,MATCH(E$1&amp;"|"&amp;$A9,'DockQ Results'!$U$2:$U$10,0)),"-")</f>
        <v/>
      </c>
      <c r="F9" s="5">
        <f>IFERROR(INDEX('DockQ Results'!$G$2:$G$10,MATCH(F$1&amp;"|"&amp;$A9,'DockQ Results'!$U$2:$U$10,0)),"-")</f>
        <v/>
      </c>
      <c r="G9" s="5">
        <f>IFERROR(INDEX('DockQ Results'!$G$2:$G$10,MATCH(G$1&amp;"|"&amp;$A9,'DockQ Results'!$U$2:$U$10,0)),"-")</f>
        <v/>
      </c>
      <c r="H9" s="5">
        <f>IFERROR(INDEX('DockQ Results'!$G$2:$G$10,MATCH(H$1&amp;"|"&amp;$A9,'DockQ Results'!$U$2:$U$10,0)),"-")</f>
        <v/>
      </c>
    </row>
    <row r="10">
      <c r="A10" s="5" t="inlineStr">
        <is>
          <t>4EZO</t>
        </is>
      </c>
      <c r="B10" s="5" t="n">
        <v>2</v>
      </c>
      <c r="C10" s="5" t="inlineStr">
        <is>
          <t>caution</t>
        </is>
      </c>
      <c r="D10" s="5">
        <f>IFERROR(INDEX('DockQ Results'!$G$2:$G$10,MATCH(D$1&amp;"|"&amp;$A10,'DockQ Results'!$U$2:$U$10,0)),"-")</f>
        <v/>
      </c>
      <c r="E10" s="5">
        <f>IFERROR(INDEX('DockQ Results'!$G$2:$G$10,MATCH(E$1&amp;"|"&amp;$A10,'DockQ Results'!$U$2:$U$10,0)),"-")</f>
        <v/>
      </c>
      <c r="F10" s="5">
        <f>IFERROR(INDEX('DockQ Results'!$G$2:$G$10,MATCH(F$1&amp;"|"&amp;$A10,'DockQ Results'!$U$2:$U$10,0)),"-")</f>
        <v/>
      </c>
      <c r="G10" s="5">
        <f>IFERROR(INDEX('DockQ Results'!$G$2:$G$10,MATCH(G$1&amp;"|"&amp;$A10,'DockQ Results'!$U$2:$U$10,0)),"-")</f>
        <v/>
      </c>
      <c r="H10" s="5">
        <f>IFERROR(INDEX('DockQ Results'!$G$2:$G$10,MATCH(H$1&amp;"|"&amp;$A10,'DockQ Results'!$U$2:$U$10,0)),"-")</f>
        <v/>
      </c>
    </row>
    <row r="11">
      <c r="A11" s="5" t="inlineStr">
        <is>
          <t>4EZU</t>
        </is>
      </c>
      <c r="B11" s="5" t="n">
        <v>2</v>
      </c>
      <c r="C11" s="5" t="inlineStr">
        <is>
          <t>ok</t>
        </is>
      </c>
      <c r="D11" s="5">
        <f>IFERROR(INDEX('DockQ Results'!$G$2:$G$10,MATCH(D$1&amp;"|"&amp;$A11,'DockQ Results'!$U$2:$U$10,0)),"-")</f>
        <v/>
      </c>
      <c r="E11" s="5">
        <f>IFERROR(INDEX('DockQ Results'!$G$2:$G$10,MATCH(E$1&amp;"|"&amp;$A11,'DockQ Results'!$U$2:$U$10,0)),"-")</f>
        <v/>
      </c>
      <c r="F11" s="5">
        <f>IFERROR(INDEX('DockQ Results'!$G$2:$G$10,MATCH(F$1&amp;"|"&amp;$A11,'DockQ Results'!$U$2:$U$10,0)),"-")</f>
        <v/>
      </c>
      <c r="G11" s="5">
        <f>IFERROR(INDEX('DockQ Results'!$G$2:$G$10,MATCH(G$1&amp;"|"&amp;$A11,'DockQ Results'!$U$2:$U$10,0)),"-")</f>
        <v/>
      </c>
      <c r="H11" s="5">
        <f>IFERROR(INDEX('DockQ Results'!$G$2:$G$10,MATCH(H$1&amp;"|"&amp;$A11,'DockQ Results'!$U$2:$U$10,0)),"-")</f>
        <v/>
      </c>
    </row>
    <row r="12">
      <c r="A12" s="5" t="inlineStr">
        <is>
          <t>6Z2P</t>
        </is>
      </c>
      <c r="B12" s="5" t="n">
        <v>2</v>
      </c>
      <c r="C12" s="5" t="inlineStr">
        <is>
          <t>caution</t>
        </is>
      </c>
      <c r="D12" s="5">
        <f>IFERROR(INDEX('DockQ Results'!$G$2:$G$10,MATCH(D$1&amp;"|"&amp;$A12,'DockQ Results'!$U$2:$U$10,0)),"-")</f>
        <v/>
      </c>
      <c r="E12" s="5">
        <f>IFERROR(INDEX('DockQ Results'!$G$2:$G$10,MATCH(E$1&amp;"|"&amp;$A12,'DockQ Results'!$U$2:$U$10,0)),"-")</f>
        <v/>
      </c>
      <c r="F12" s="5">
        <f>IFERROR(INDEX('DockQ Results'!$G$2:$G$10,MATCH(F$1&amp;"|"&amp;$A12,'DockQ Results'!$U$2:$U$10,0)),"-")</f>
        <v/>
      </c>
      <c r="G12" s="5">
        <f>IFERROR(INDEX('DockQ Results'!$G$2:$G$10,MATCH(G$1&amp;"|"&amp;$A12,'DockQ Results'!$U$2:$U$10,0)),"-")</f>
        <v/>
      </c>
      <c r="H12" s="5">
        <f>IFERROR(INDEX('DockQ Results'!$G$2:$G$10,MATCH(H$1&amp;"|"&amp;$A12,'DockQ Results'!$U$2:$U$10,0)),"-")</f>
        <v/>
      </c>
    </row>
    <row r="13">
      <c r="A13" s="5" t="inlineStr">
        <is>
          <t>7SAY</t>
        </is>
      </c>
      <c r="B13" s="5" t="n">
        <v>2</v>
      </c>
      <c r="C13" s="5" t="inlineStr">
        <is>
          <t>ok</t>
        </is>
      </c>
      <c r="D13" s="5">
        <f>IFERROR(INDEX('DockQ Results'!$G$2:$G$10,MATCH(D$1&amp;"|"&amp;$A13,'DockQ Results'!$U$2:$U$10,0)),"-")</f>
        <v/>
      </c>
      <c r="E13" s="5">
        <f>IFERROR(INDEX('DockQ Results'!$G$2:$G$10,MATCH(E$1&amp;"|"&amp;$A13,'DockQ Results'!$U$2:$U$10,0)),"-")</f>
        <v/>
      </c>
      <c r="F13" s="5">
        <f>IFERROR(INDEX('DockQ Results'!$G$2:$G$10,MATCH(F$1&amp;"|"&amp;$A13,'DockQ Results'!$U$2:$U$10,0)),"-")</f>
        <v/>
      </c>
      <c r="G13" s="5">
        <f>IFERROR(INDEX('DockQ Results'!$G$2:$G$10,MATCH(G$1&amp;"|"&amp;$A13,'DockQ Results'!$U$2:$U$10,0)),"-")</f>
        <v/>
      </c>
      <c r="H13" s="5">
        <f>IFERROR(INDEX('DockQ Results'!$G$2:$G$10,MATCH(H$1&amp;"|"&amp;$A13,'DockQ Results'!$U$2:$U$10,0)),"-")</f>
        <v/>
      </c>
    </row>
    <row r="14">
      <c r="A14" s="5" t="inlineStr">
        <is>
          <t>8AHT</t>
        </is>
      </c>
      <c r="B14" s="5" t="n">
        <v>2</v>
      </c>
      <c r="C14" s="5" t="inlineStr">
        <is>
          <t>ok</t>
        </is>
      </c>
      <c r="D14" s="5">
        <f>IFERROR(INDEX('DockQ Results'!$G$2:$G$10,MATCH(D$1&amp;"|"&amp;$A14,'DockQ Results'!$U$2:$U$10,0)),"-")</f>
        <v/>
      </c>
      <c r="E14" s="5">
        <f>IFERROR(INDEX('DockQ Results'!$G$2:$G$10,MATCH(E$1&amp;"|"&amp;$A14,'DockQ Results'!$U$2:$U$10,0)),"-")</f>
        <v/>
      </c>
      <c r="F14" s="5">
        <f>IFERROR(INDEX('DockQ Results'!$G$2:$G$10,MATCH(F$1&amp;"|"&amp;$A14,'DockQ Results'!$U$2:$U$10,0)),"-")</f>
        <v/>
      </c>
      <c r="G14" s="5">
        <f>IFERROR(INDEX('DockQ Results'!$G$2:$G$10,MATCH(G$1&amp;"|"&amp;$A14,'DockQ Results'!$U$2:$U$10,0)),"-")</f>
        <v/>
      </c>
      <c r="H14" s="5">
        <f>IFERROR(INDEX('DockQ Results'!$G$2:$G$10,MATCH(H$1&amp;"|"&amp;$A14,'DockQ Results'!$U$2:$U$10,0)),"-")</f>
        <v/>
      </c>
    </row>
    <row r="15">
      <c r="A15" s="5" t="inlineStr">
        <is>
          <t>4JWC</t>
        </is>
      </c>
      <c r="B15" s="5" t="n">
        <v>3</v>
      </c>
      <c r="C15" s="5" t="inlineStr">
        <is>
          <t>caution</t>
        </is>
      </c>
      <c r="D15" s="5">
        <f>IFERROR(INDEX('DockQ Results'!$G$2:$G$10,MATCH(D$1&amp;"|"&amp;$A15,'DockQ Results'!$U$2:$U$10,0)),"-")</f>
        <v/>
      </c>
      <c r="E15" s="5">
        <f>IFERROR(INDEX('DockQ Results'!$G$2:$G$10,MATCH(E$1&amp;"|"&amp;$A15,'DockQ Results'!$U$2:$U$10,0)),"-")</f>
        <v/>
      </c>
      <c r="F15" s="5">
        <f>IFERROR(INDEX('DockQ Results'!$G$2:$G$10,MATCH(F$1&amp;"|"&amp;$A15,'DockQ Results'!$U$2:$U$10,0)),"-")</f>
        <v/>
      </c>
      <c r="G15" s="5">
        <f>IFERROR(INDEX('DockQ Results'!$G$2:$G$10,MATCH(G$1&amp;"|"&amp;$A15,'DockQ Results'!$U$2:$U$10,0)),"-")</f>
        <v/>
      </c>
      <c r="H15" s="5">
        <f>IFERROR(INDEX('DockQ Results'!$G$2:$G$10,MATCH(H$1&amp;"|"&amp;$A15,'DockQ Results'!$U$2:$U$10,0)),"-")</f>
        <v/>
      </c>
    </row>
    <row r="16">
      <c r="A16" s="5" t="inlineStr">
        <is>
          <t>4JWD</t>
        </is>
      </c>
      <c r="B16" s="5" t="n">
        <v>3</v>
      </c>
      <c r="C16" s="5" t="inlineStr">
        <is>
          <t>caution</t>
        </is>
      </c>
      <c r="D16" s="5">
        <f>IFERROR(INDEX('DockQ Results'!$G$2:$G$10,MATCH(D$1&amp;"|"&amp;$A16,'DockQ Results'!$U$2:$U$10,0)),"-")</f>
        <v/>
      </c>
      <c r="E16" s="5">
        <f>IFERROR(INDEX('DockQ Results'!$G$2:$G$10,MATCH(E$1&amp;"|"&amp;$A16,'DockQ Results'!$U$2:$U$10,0)),"-")</f>
        <v/>
      </c>
      <c r="F16" s="5">
        <f>IFERROR(INDEX('DockQ Results'!$G$2:$G$10,MATCH(F$1&amp;"|"&amp;$A16,'DockQ Results'!$U$2:$U$10,0)),"-")</f>
        <v/>
      </c>
      <c r="G16" s="5">
        <f>IFERROR(INDEX('DockQ Results'!$G$2:$G$10,MATCH(G$1&amp;"|"&amp;$A16,'DockQ Results'!$U$2:$U$10,0)),"-")</f>
        <v/>
      </c>
      <c r="H16" s="5">
        <f>IFERROR(INDEX('DockQ Results'!$G$2:$G$10,MATCH(H$1&amp;"|"&amp;$A16,'DockQ Results'!$U$2:$U$10,0)),"-")</f>
        <v/>
      </c>
    </row>
    <row r="17">
      <c r="A17" s="5" t="inlineStr">
        <is>
          <t>8GAL</t>
        </is>
      </c>
      <c r="B17" s="5" t="n">
        <v>3</v>
      </c>
      <c r="C17" s="5" t="inlineStr">
        <is>
          <t>ok</t>
        </is>
      </c>
      <c r="D17" s="5">
        <f>IFERROR(INDEX('DockQ Results'!$G$2:$G$10,MATCH(D$1&amp;"|"&amp;$A17,'DockQ Results'!$U$2:$U$10,0)),"-")</f>
        <v/>
      </c>
      <c r="E17" s="5">
        <f>IFERROR(INDEX('DockQ Results'!$G$2:$G$10,MATCH(E$1&amp;"|"&amp;$A17,'DockQ Results'!$U$2:$U$10,0)),"-")</f>
        <v/>
      </c>
      <c r="F17" s="5">
        <f>IFERROR(INDEX('DockQ Results'!$G$2:$G$10,MATCH(F$1&amp;"|"&amp;$A17,'DockQ Results'!$U$2:$U$10,0)),"-")</f>
        <v/>
      </c>
      <c r="G17" s="5">
        <f>IFERROR(INDEX('DockQ Results'!$G$2:$G$10,MATCH(G$1&amp;"|"&amp;$A17,'DockQ Results'!$U$2:$U$10,0)),"-")</f>
        <v/>
      </c>
      <c r="H17" s="5">
        <f>IFERROR(INDEX('DockQ Results'!$G$2:$G$10,MATCH(H$1&amp;"|"&amp;$A17,'DockQ Results'!$U$2:$U$10,0)),"-")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2" customWidth="1" min="4" max="4"/>
    <col width="10" customWidth="1" min="5" max="5"/>
    <col width="9" customWidth="1" min="6" max="6"/>
    <col width="16" customWidth="1" min="7" max="7"/>
    <col width="11" customWidth="1" min="8" max="8"/>
    <col width="11" customWidth="1" min="9" max="9"/>
    <col width="30" customWidth="1" min="10" max="10"/>
    <col width="24" customWidth="1" min="11" max="11"/>
    <col width="55" customWidth="1" min="12" max="12"/>
  </cols>
  <sheetData>
    <row r="1">
      <c r="A1" s="4" t="inlineStr">
        <is>
          <t>pdb_id</t>
        </is>
      </c>
      <c r="B1" s="4" t="inlineStr">
        <is>
          <t>matched_query</t>
        </is>
      </c>
      <c r="C1" s="4" t="inlineStr">
        <is>
          <t>receptor_len</t>
        </is>
      </c>
      <c r="D1" s="4" t="inlineStr">
        <is>
          <t>peptide_len_seqres</t>
        </is>
      </c>
      <c r="E1" s="4" t="inlineStr">
        <is>
          <t>resolved_frac</t>
        </is>
      </c>
      <c r="F1" s="4" t="inlineStr">
        <is>
          <t>pep_nonstd</t>
        </is>
      </c>
      <c r="G1" s="4" t="inlineStr">
        <is>
          <t>receptor_chain</t>
        </is>
      </c>
      <c r="H1" s="4" t="inlineStr">
        <is>
          <t>peptide_chain</t>
        </is>
      </c>
      <c r="I1" s="4" t="inlineStr">
        <is>
          <t>verdict</t>
        </is>
      </c>
      <c r="J1" s="4" t="inlineStr">
        <is>
          <t>resolved_pep_len</t>
        </is>
      </c>
      <c r="K1" s="4" t="inlineStr">
        <is>
          <t>decision</t>
        </is>
      </c>
      <c r="L1" s="4" t="inlineStr">
        <is>
          <t>decision_reason</t>
        </is>
      </c>
    </row>
    <row r="2">
      <c r="A2" s="5" t="inlineStr">
        <is>
          <t>4EZR</t>
        </is>
      </c>
      <c r="B2" s="5" t="inlineStr">
        <is>
          <t>antimicrobial peptide;drosocin</t>
        </is>
      </c>
      <c r="C2" s="5" t="inlineStr">
        <is>
          <t>219</t>
        </is>
      </c>
      <c r="D2" s="5" t="inlineStr">
        <is>
          <t>8</t>
        </is>
      </c>
      <c r="E2" s="5" t="inlineStr">
        <is>
          <t>1.0</t>
        </is>
      </c>
      <c r="F2" s="5" t="inlineStr"/>
      <c r="G2" s="5" t="inlineStr">
        <is>
          <t>A</t>
        </is>
      </c>
      <c r="H2" s="5" t="inlineStr">
        <is>
          <t>B</t>
        </is>
      </c>
      <c r="I2" s="5" t="inlineStr">
        <is>
          <t>ok</t>
        </is>
      </c>
      <c r="J2" s="5" t="inlineStr">
        <is>
          <t>8</t>
        </is>
      </c>
      <c r="K2" s="5" t="inlineStr">
        <is>
          <t>ADDED</t>
        </is>
      </c>
      <c r="L2" s="6" t="inlineStr">
        <is>
          <t>confirmed relevant, non-redundant AMP complex</t>
        </is>
      </c>
    </row>
    <row r="3">
      <c r="A3" s="5" t="inlineStr">
        <is>
          <t>3OSZ</t>
        </is>
      </c>
      <c r="B3" s="5" t="inlineStr">
        <is>
          <t>antimicrobial peptide</t>
        </is>
      </c>
      <c r="C3" s="5" t="inlineStr">
        <is>
          <t>279</t>
        </is>
      </c>
      <c r="D3" s="5" t="inlineStr">
        <is>
          <t>10</t>
        </is>
      </c>
      <c r="E3" s="5" t="inlineStr">
        <is>
          <t>1.0</t>
        </is>
      </c>
      <c r="F3" s="5" t="inlineStr"/>
      <c r="G3" s="5" t="inlineStr">
        <is>
          <t>A</t>
        </is>
      </c>
      <c r="H3" s="5" t="inlineStr">
        <is>
          <t>B</t>
        </is>
      </c>
      <c r="I3" s="5" t="inlineStr">
        <is>
          <t>ok</t>
        </is>
      </c>
      <c r="J3" s="5" t="inlineStr">
        <is>
          <t>10</t>
        </is>
      </c>
      <c r="K3" s="5" t="inlineStr">
        <is>
          <t>NOT ADDED (not AMP-relevant)</t>
        </is>
      </c>
      <c r="L3" s="6" t="inlineStr">
        <is>
          <t>Proteinase K + generic substrate peptide, not identified as an AMP</t>
        </is>
      </c>
    </row>
    <row r="4">
      <c r="A4" s="5" t="inlineStr">
        <is>
          <t>5VB9</t>
        </is>
      </c>
      <c r="B4" s="5" t="inlineStr">
        <is>
          <t>antimicrobial peptide</t>
        </is>
      </c>
      <c r="C4" s="5" t="inlineStr">
        <is>
          <t>119</t>
        </is>
      </c>
      <c r="D4" s="5" t="inlineStr">
        <is>
          <t>15</t>
        </is>
      </c>
      <c r="E4" s="5" t="inlineStr">
        <is>
          <t>1.0</t>
        </is>
      </c>
      <c r="F4" s="5" t="inlineStr"/>
      <c r="G4" s="5" t="inlineStr">
        <is>
          <t>A</t>
        </is>
      </c>
      <c r="H4" s="5" t="inlineStr">
        <is>
          <t>C</t>
        </is>
      </c>
      <c r="I4" s="5" t="inlineStr">
        <is>
          <t>ok</t>
        </is>
      </c>
      <c r="J4" s="5" t="inlineStr">
        <is>
          <t>15</t>
        </is>
      </c>
      <c r="K4" s="5" t="inlineStr">
        <is>
          <t>NOT ADDED (not AMP-relevant)</t>
        </is>
      </c>
      <c r="L4" s="6" t="inlineStr">
        <is>
          <t>Interleukin-17A + inhibitor peptide -- immune signalling, not antimicrobial</t>
        </is>
      </c>
    </row>
    <row r="5">
      <c r="A5" s="5" t="inlineStr">
        <is>
          <t>8QFZ</t>
        </is>
      </c>
      <c r="B5" s="5" t="inlineStr">
        <is>
          <t>antimicrobial peptide</t>
        </is>
      </c>
      <c r="C5" s="5" t="inlineStr">
        <is>
          <t>128</t>
        </is>
      </c>
      <c r="D5" s="5" t="inlineStr">
        <is>
          <t>12</t>
        </is>
      </c>
      <c r="E5" s="5" t="inlineStr">
        <is>
          <t>1.0</t>
        </is>
      </c>
      <c r="F5" s="5" t="inlineStr"/>
      <c r="G5" s="5" t="inlineStr">
        <is>
          <t>A</t>
        </is>
      </c>
      <c r="H5" s="5" t="inlineStr">
        <is>
          <t>B</t>
        </is>
      </c>
      <c r="I5" s="5" t="inlineStr">
        <is>
          <t>ok</t>
        </is>
      </c>
      <c r="J5" s="5" t="inlineStr">
        <is>
          <t>12</t>
        </is>
      </c>
      <c r="K5" s="5" t="inlineStr">
        <is>
          <t>NOT ADDED (not AMP-relevant)</t>
        </is>
      </c>
      <c r="L5" s="6" t="inlineStr">
        <is>
          <t>TSLP antagonist, macrocyclic/disulfide peptide -- immune signalling, wrong topology</t>
        </is>
      </c>
    </row>
    <row r="6">
      <c r="A6" s="5" t="inlineStr">
        <is>
          <t>2HD4</t>
        </is>
      </c>
      <c r="B6" s="5" t="inlineStr">
        <is>
          <t>antimicrobial peptide</t>
        </is>
      </c>
      <c r="C6" s="5" t="inlineStr">
        <is>
          <t>279</t>
        </is>
      </c>
      <c r="D6" s="5" t="inlineStr">
        <is>
          <t>8</t>
        </is>
      </c>
      <c r="E6" s="5" t="inlineStr">
        <is>
          <t>1.0</t>
        </is>
      </c>
      <c r="F6" s="5" t="inlineStr"/>
      <c r="G6" s="5" t="inlineStr">
        <is>
          <t>A</t>
        </is>
      </c>
      <c r="H6" s="5" t="inlineStr">
        <is>
          <t>B</t>
        </is>
      </c>
      <c r="I6" s="5" t="inlineStr">
        <is>
          <t>ok</t>
        </is>
      </c>
      <c r="J6" s="5" t="inlineStr">
        <is>
          <t>8</t>
        </is>
      </c>
      <c r="K6" s="5" t="inlineStr">
        <is>
          <t>ADDED</t>
        </is>
      </c>
      <c r="L6" s="6" t="inlineStr">
        <is>
          <t>confirmed relevant, non-redundant AMP complex</t>
        </is>
      </c>
    </row>
    <row r="7">
      <c r="A7" s="5" t="inlineStr">
        <is>
          <t>7W0Q</t>
        </is>
      </c>
      <c r="B7" s="5" t="inlineStr">
        <is>
          <t>host defense peptide</t>
        </is>
      </c>
      <c r="C7" s="5" t="inlineStr">
        <is>
          <t>174</t>
        </is>
      </c>
      <c r="D7" s="5" t="inlineStr">
        <is>
          <t>10</t>
        </is>
      </c>
      <c r="E7" s="5" t="inlineStr">
        <is>
          <t>1.0</t>
        </is>
      </c>
      <c r="F7" s="5" t="inlineStr"/>
      <c r="G7" s="5" t="inlineStr">
        <is>
          <t>A</t>
        </is>
      </c>
      <c r="H7" s="5" t="inlineStr">
        <is>
          <t>B</t>
        </is>
      </c>
      <c r="I7" s="5" t="inlineStr">
        <is>
          <t>ok</t>
        </is>
      </c>
      <c r="J7" s="5" t="inlineStr">
        <is>
          <t>10</t>
        </is>
      </c>
      <c r="K7" s="5" t="inlineStr">
        <is>
          <t>NOT ADDED (not AMP-relevant)</t>
        </is>
      </c>
      <c r="L7" s="6" t="inlineStr">
        <is>
          <t>E3 ligase TRIM7 + generic peptide -- not antimicrobial</t>
        </is>
      </c>
    </row>
    <row r="8">
      <c r="A8" s="5" t="inlineStr">
        <is>
          <t>8T5P</t>
        </is>
      </c>
      <c r="B8" s="5" t="inlineStr">
        <is>
          <t>host defense peptide</t>
        </is>
      </c>
      <c r="C8" s="5" t="inlineStr">
        <is>
          <t>192</t>
        </is>
      </c>
      <c r="D8" s="5" t="inlineStr">
        <is>
          <t>5</t>
        </is>
      </c>
      <c r="E8" s="5" t="inlineStr">
        <is>
          <t>1.0</t>
        </is>
      </c>
      <c r="F8" s="5" t="inlineStr"/>
      <c r="G8" s="5" t="inlineStr">
        <is>
          <t>A</t>
        </is>
      </c>
      <c r="H8" s="5" t="inlineStr">
        <is>
          <t>G</t>
        </is>
      </c>
      <c r="I8" s="5" t="inlineStr">
        <is>
          <t>ok</t>
        </is>
      </c>
      <c r="J8" s="5" t="inlineStr">
        <is>
          <t>5</t>
        </is>
      </c>
      <c r="K8" s="5" t="inlineStr">
        <is>
          <t>NOT ADDED (not AMP-relevant)</t>
        </is>
      </c>
      <c r="L8" s="6" t="inlineStr">
        <is>
          <t>TRAF3 + viral ORF3a fragment -- antiviral immune signalling, not an AMP</t>
        </is>
      </c>
    </row>
    <row r="9">
      <c r="A9" s="5" t="inlineStr">
        <is>
          <t>6R7W</t>
        </is>
      </c>
      <c r="B9" s="5" t="inlineStr">
        <is>
          <t>cathelicidin;LL-37</t>
        </is>
      </c>
      <c r="C9" s="5" t="inlineStr">
        <is>
          <t>277</t>
        </is>
      </c>
      <c r="D9" s="5" t="inlineStr">
        <is>
          <t>14</t>
        </is>
      </c>
      <c r="E9" s="5" t="inlineStr">
        <is>
          <t>1.0</t>
        </is>
      </c>
      <c r="F9" s="5" t="inlineStr"/>
      <c r="G9" s="5" t="inlineStr">
        <is>
          <t>A</t>
        </is>
      </c>
      <c r="H9" s="5" t="inlineStr">
        <is>
          <t>B</t>
        </is>
      </c>
      <c r="I9" s="5" t="inlineStr">
        <is>
          <t>ok</t>
        </is>
      </c>
      <c r="J9" s="5" t="inlineStr">
        <is>
          <t>14</t>
        </is>
      </c>
      <c r="K9" s="5" t="inlineStr">
        <is>
          <t>NOT ADDED (not AMP-relevant)</t>
        </is>
      </c>
      <c r="L9" s="6" t="inlineStr">
        <is>
          <t>bacterial protease Mirolysin + generic lipoprotein fragment</t>
        </is>
      </c>
    </row>
    <row r="10">
      <c r="A10" s="5" t="inlineStr">
        <is>
          <t>8GAK</t>
        </is>
      </c>
      <c r="B10" s="5" t="inlineStr">
        <is>
          <t>thanatin</t>
        </is>
      </c>
      <c r="C10" s="5" t="inlineStr">
        <is>
          <t>132</t>
        </is>
      </c>
      <c r="D10" s="5" t="inlineStr">
        <is>
          <t>20</t>
        </is>
      </c>
      <c r="E10" s="5" t="inlineStr">
        <is>
          <t>1.0</t>
        </is>
      </c>
      <c r="F10" s="5" t="inlineStr"/>
      <c r="G10" s="5" t="inlineStr">
        <is>
          <t>A</t>
        </is>
      </c>
      <c r="H10" s="5" t="inlineStr">
        <is>
          <t>B</t>
        </is>
      </c>
      <c r="I10" s="5" t="inlineStr">
        <is>
          <t>ok</t>
        </is>
      </c>
      <c r="J10" s="5" t="inlineStr">
        <is>
          <t>20</t>
        </is>
      </c>
      <c r="K10" s="5" t="inlineStr">
        <is>
          <t>NOT ADDED (redundant)</t>
        </is>
      </c>
      <c r="L10" s="6" t="inlineStr">
        <is>
          <t>same LptA+Thanatin complex as existing target 8GAL</t>
        </is>
      </c>
    </row>
    <row r="11">
      <c r="A11" s="5" t="inlineStr">
        <is>
          <t>2XS3</t>
        </is>
      </c>
      <c r="B11" s="5" t="inlineStr">
        <is>
          <t>LL-37</t>
        </is>
      </c>
      <c r="C11" s="5" t="inlineStr">
        <is>
          <t>166</t>
        </is>
      </c>
      <c r="D11" s="5" t="inlineStr">
        <is>
          <t>4</t>
        </is>
      </c>
      <c r="E11" s="5" t="inlineStr">
        <is>
          <t>1.0</t>
        </is>
      </c>
      <c r="F11" s="5" t="inlineStr"/>
      <c r="G11" s="5" t="inlineStr">
        <is>
          <t>A</t>
        </is>
      </c>
      <c r="H11" s="5" t="inlineStr">
        <is>
          <t>C</t>
        </is>
      </c>
      <c r="I11" s="5" t="inlineStr">
        <is>
          <t>ok</t>
        </is>
      </c>
      <c r="J11" s="5" t="inlineStr">
        <is>
          <t>4</t>
        </is>
      </c>
      <c r="K11" s="5" t="inlineStr">
        <is>
          <t>NOT ADDED (not AMP-relevant)</t>
        </is>
      </c>
      <c r="L11" s="6" t="inlineStr">
        <is>
          <t>bacterial protease Karilysin + generic tetrapeptide substrate</t>
        </is>
      </c>
    </row>
    <row r="12">
      <c r="A12" s="5" t="inlineStr">
        <is>
          <t>4N6P</t>
        </is>
      </c>
      <c r="B12" s="5" t="inlineStr">
        <is>
          <t>lactoferricin</t>
        </is>
      </c>
      <c r="C12" s="5" t="inlineStr">
        <is>
          <t>341</t>
        </is>
      </c>
      <c r="D12" s="5" t="inlineStr">
        <is>
          <t>6</t>
        </is>
      </c>
      <c r="E12" s="5" t="inlineStr">
        <is>
          <t>1.0</t>
        </is>
      </c>
      <c r="F12" s="5" t="inlineStr"/>
      <c r="G12" s="5" t="inlineStr">
        <is>
          <t>A</t>
        </is>
      </c>
      <c r="H12" s="5" t="inlineStr">
        <is>
          <t>B</t>
        </is>
      </c>
      <c r="I12" s="5" t="inlineStr">
        <is>
          <t>ok</t>
        </is>
      </c>
      <c r="J12" s="5" t="inlineStr">
        <is>
          <t>6</t>
        </is>
      </c>
      <c r="K12" s="5" t="inlineStr">
        <is>
          <t>ADDED</t>
        </is>
      </c>
      <c r="L12" s="6" t="inlineStr">
        <is>
          <t>confirmed relevant, non-redundant AMP complex</t>
        </is>
      </c>
    </row>
    <row r="13">
      <c r="A13" s="5" t="inlineStr">
        <is>
          <t>3U72</t>
        </is>
      </c>
      <c r="B13" s="5" t="inlineStr">
        <is>
          <t>lactoferricin</t>
        </is>
      </c>
      <c r="C13" s="5" t="inlineStr">
        <is>
          <t>335</t>
        </is>
      </c>
      <c r="D13" s="5" t="inlineStr">
        <is>
          <t>6</t>
        </is>
      </c>
      <c r="E13" s="5" t="inlineStr">
        <is>
          <t>1.0</t>
        </is>
      </c>
      <c r="F13" s="5" t="inlineStr"/>
      <c r="G13" s="5" t="inlineStr">
        <is>
          <t>A</t>
        </is>
      </c>
      <c r="H13" s="5" t="inlineStr">
        <is>
          <t>B</t>
        </is>
      </c>
      <c r="I13" s="5" t="inlineStr">
        <is>
          <t>ok</t>
        </is>
      </c>
      <c r="J13" s="5" t="inlineStr">
        <is>
          <t>6</t>
        </is>
      </c>
      <c r="K13" s="5" t="inlineStr">
        <is>
          <t>NOT ADDED (redundant)</t>
        </is>
      </c>
      <c r="L13" s="6" t="inlineStr">
        <is>
          <t>same Lactotransferrin self-complex as added target 4N6P (15-way duplicate cluster)</t>
        </is>
      </c>
    </row>
    <row r="14">
      <c r="A14" s="5" t="inlineStr">
        <is>
          <t>3VDF</t>
        </is>
      </c>
      <c r="B14" s="5" t="inlineStr">
        <is>
          <t>lactoferricin</t>
        </is>
      </c>
      <c r="C14" s="5" t="inlineStr">
        <is>
          <t>335</t>
        </is>
      </c>
      <c r="D14" s="5" t="inlineStr">
        <is>
          <t>6</t>
        </is>
      </c>
      <c r="E14" s="5" t="inlineStr">
        <is>
          <t>1.0</t>
        </is>
      </c>
      <c r="F14" s="5" t="inlineStr"/>
      <c r="G14" s="5" t="inlineStr">
        <is>
          <t>A</t>
        </is>
      </c>
      <c r="H14" s="5" t="inlineStr">
        <is>
          <t>B</t>
        </is>
      </c>
      <c r="I14" s="5" t="inlineStr">
        <is>
          <t>ok</t>
        </is>
      </c>
      <c r="J14" s="5" t="inlineStr">
        <is>
          <t>6</t>
        </is>
      </c>
      <c r="K14" s="5" t="inlineStr">
        <is>
          <t>NOT ADDED (redundant)</t>
        </is>
      </c>
      <c r="L14" s="6" t="inlineStr">
        <is>
          <t>same Lactotransferrin self-complex as added target 4N6P (15-way duplicate cluster)</t>
        </is>
      </c>
    </row>
    <row r="15">
      <c r="A15" s="5" t="inlineStr">
        <is>
          <t>4DXU</t>
        </is>
      </c>
      <c r="B15" s="5" t="inlineStr">
        <is>
          <t>lactoferricin</t>
        </is>
      </c>
      <c r="C15" s="5" t="inlineStr">
        <is>
          <t>335</t>
        </is>
      </c>
      <c r="D15" s="5" t="inlineStr">
        <is>
          <t>6</t>
        </is>
      </c>
      <c r="E15" s="5" t="inlineStr">
        <is>
          <t>1.0</t>
        </is>
      </c>
      <c r="F15" s="5" t="inlineStr"/>
      <c r="G15" s="5" t="inlineStr">
        <is>
          <t>A</t>
        </is>
      </c>
      <c r="H15" s="5" t="inlineStr">
        <is>
          <t>B</t>
        </is>
      </c>
      <c r="I15" s="5" t="inlineStr">
        <is>
          <t>ok</t>
        </is>
      </c>
      <c r="J15" s="5" t="inlineStr">
        <is>
          <t>6</t>
        </is>
      </c>
      <c r="K15" s="5" t="inlineStr">
        <is>
          <t>NOT ADDED (redundant)</t>
        </is>
      </c>
      <c r="L15" s="6" t="inlineStr">
        <is>
          <t>same Lactotransferrin self-complex as added target 4N6P (15-way duplicate cluster)</t>
        </is>
      </c>
    </row>
    <row r="16">
      <c r="A16" s="5" t="inlineStr">
        <is>
          <t>4FIM</t>
        </is>
      </c>
      <c r="B16" s="5" t="inlineStr">
        <is>
          <t>lactoferricin</t>
        </is>
      </c>
      <c r="C16" s="5" t="inlineStr">
        <is>
          <t>335</t>
        </is>
      </c>
      <c r="D16" s="5" t="inlineStr">
        <is>
          <t>6</t>
        </is>
      </c>
      <c r="E16" s="5" t="inlineStr">
        <is>
          <t>1.0</t>
        </is>
      </c>
      <c r="F16" s="5" t="inlineStr"/>
      <c r="G16" s="5" t="inlineStr">
        <is>
          <t>A</t>
        </is>
      </c>
      <c r="H16" s="5" t="inlineStr">
        <is>
          <t>B</t>
        </is>
      </c>
      <c r="I16" s="5" t="inlineStr">
        <is>
          <t>ok</t>
        </is>
      </c>
      <c r="J16" s="5" t="inlineStr">
        <is>
          <t>6</t>
        </is>
      </c>
      <c r="K16" s="5" t="inlineStr">
        <is>
          <t>NOT ADDED (redundant)</t>
        </is>
      </c>
      <c r="L16" s="6" t="inlineStr">
        <is>
          <t>same Lactotransferrin self-complex as added target 4N6P (15-way duplicate cluster)</t>
        </is>
      </c>
    </row>
    <row r="17">
      <c r="A17" s="5" t="inlineStr">
        <is>
          <t>4FJP</t>
        </is>
      </c>
      <c r="B17" s="5" t="inlineStr">
        <is>
          <t>lactoferricin</t>
        </is>
      </c>
      <c r="C17" s="5" t="inlineStr">
        <is>
          <t>335</t>
        </is>
      </c>
      <c r="D17" s="5" t="inlineStr">
        <is>
          <t>6</t>
        </is>
      </c>
      <c r="E17" s="5" t="inlineStr">
        <is>
          <t>1.0</t>
        </is>
      </c>
      <c r="F17" s="5" t="inlineStr"/>
      <c r="G17" s="5" t="inlineStr">
        <is>
          <t>A</t>
        </is>
      </c>
      <c r="H17" s="5" t="inlineStr">
        <is>
          <t>B</t>
        </is>
      </c>
      <c r="I17" s="5" t="inlineStr">
        <is>
          <t>ok</t>
        </is>
      </c>
      <c r="J17" s="5" t="inlineStr">
        <is>
          <t>6</t>
        </is>
      </c>
      <c r="K17" s="5" t="inlineStr">
        <is>
          <t>NOT ADDED (redundant)</t>
        </is>
      </c>
      <c r="L17" s="6" t="inlineStr">
        <is>
          <t>same Lactotransferrin self-complex as added target 4N6P (15-way duplicate cluster)</t>
        </is>
      </c>
    </row>
    <row r="18">
      <c r="A18" s="5" t="inlineStr">
        <is>
          <t>4G2Z</t>
        </is>
      </c>
      <c r="B18" s="5" t="inlineStr">
        <is>
          <t>lactoferricin</t>
        </is>
      </c>
      <c r="C18" s="5" t="inlineStr">
        <is>
          <t>335</t>
        </is>
      </c>
      <c r="D18" s="5" t="inlineStr">
        <is>
          <t>6</t>
        </is>
      </c>
      <c r="E18" s="5" t="inlineStr">
        <is>
          <t>1.0</t>
        </is>
      </c>
      <c r="F18" s="5" t="inlineStr"/>
      <c r="G18" s="5" t="inlineStr">
        <is>
          <t>A</t>
        </is>
      </c>
      <c r="H18" s="5" t="inlineStr">
        <is>
          <t>B</t>
        </is>
      </c>
      <c r="I18" s="5" t="inlineStr">
        <is>
          <t>ok</t>
        </is>
      </c>
      <c r="J18" s="5" t="inlineStr">
        <is>
          <t>6</t>
        </is>
      </c>
      <c r="K18" s="5" t="inlineStr">
        <is>
          <t>NOT ADDED (redundant)</t>
        </is>
      </c>
      <c r="L18" s="6" t="inlineStr">
        <is>
          <t>same Lactotransferrin self-complex as added target 4N6P (15-way duplicate cluster)</t>
        </is>
      </c>
    </row>
    <row r="19">
      <c r="A19" s="5" t="inlineStr">
        <is>
          <t>4GRK</t>
        </is>
      </c>
      <c r="B19" s="5" t="inlineStr">
        <is>
          <t>lactoferricin</t>
        </is>
      </c>
      <c r="C19" s="5" t="inlineStr">
        <is>
          <t>335</t>
        </is>
      </c>
      <c r="D19" s="5" t="inlineStr">
        <is>
          <t>6</t>
        </is>
      </c>
      <c r="E19" s="5" t="inlineStr">
        <is>
          <t>1.0</t>
        </is>
      </c>
      <c r="F19" s="5" t="inlineStr"/>
      <c r="G19" s="5" t="inlineStr">
        <is>
          <t>A</t>
        </is>
      </c>
      <c r="H19" s="5" t="inlineStr">
        <is>
          <t>B</t>
        </is>
      </c>
      <c r="I19" s="5" t="inlineStr">
        <is>
          <t>ok</t>
        </is>
      </c>
      <c r="J19" s="5" t="inlineStr">
        <is>
          <t>6</t>
        </is>
      </c>
      <c r="K19" s="5" t="inlineStr">
        <is>
          <t>NOT ADDED (redundant)</t>
        </is>
      </c>
      <c r="L19" s="6" t="inlineStr">
        <is>
          <t>same Lactotransferrin self-complex as added target 4N6P (15-way duplicate cluster)</t>
        </is>
      </c>
    </row>
    <row r="20">
      <c r="A20" s="5" t="inlineStr">
        <is>
          <t>3V5A</t>
        </is>
      </c>
      <c r="B20" s="5" t="inlineStr">
        <is>
          <t>lactoferricin</t>
        </is>
      </c>
      <c r="C20" s="5" t="inlineStr">
        <is>
          <t>335</t>
        </is>
      </c>
      <c r="D20" s="5" t="inlineStr">
        <is>
          <t>6</t>
        </is>
      </c>
      <c r="E20" s="5" t="inlineStr">
        <is>
          <t>1.0</t>
        </is>
      </c>
      <c r="F20" s="5" t="inlineStr"/>
      <c r="G20" s="5" t="inlineStr">
        <is>
          <t>A</t>
        </is>
      </c>
      <c r="H20" s="5" t="inlineStr">
        <is>
          <t>B</t>
        </is>
      </c>
      <c r="I20" s="5" t="inlineStr">
        <is>
          <t>ok</t>
        </is>
      </c>
      <c r="J20" s="5" t="inlineStr">
        <is>
          <t>6</t>
        </is>
      </c>
      <c r="K20" s="5" t="inlineStr">
        <is>
          <t>NOT ADDED (redundant)</t>
        </is>
      </c>
      <c r="L20" s="6" t="inlineStr">
        <is>
          <t>same Lactotransferrin self-complex as added target 4N6P (15-way duplicate cluster)</t>
        </is>
      </c>
    </row>
    <row r="21">
      <c r="A21" s="5" t="inlineStr">
        <is>
          <t>4FOR</t>
        </is>
      </c>
      <c r="B21" s="5" t="inlineStr">
        <is>
          <t>lactoferricin</t>
        </is>
      </c>
      <c r="C21" s="5" t="inlineStr">
        <is>
          <t>335</t>
        </is>
      </c>
      <c r="D21" s="5" t="inlineStr">
        <is>
          <t>6</t>
        </is>
      </c>
      <c r="E21" s="5" t="inlineStr">
        <is>
          <t>1.0</t>
        </is>
      </c>
      <c r="F21" s="5" t="inlineStr"/>
      <c r="G21" s="5" t="inlineStr">
        <is>
          <t>A</t>
        </is>
      </c>
      <c r="H21" s="5" t="inlineStr">
        <is>
          <t>B</t>
        </is>
      </c>
      <c r="I21" s="5" t="inlineStr">
        <is>
          <t>ok</t>
        </is>
      </c>
      <c r="J21" s="5" t="inlineStr">
        <is>
          <t>6</t>
        </is>
      </c>
      <c r="K21" s="5" t="inlineStr">
        <is>
          <t>NOT ADDED (redundant)</t>
        </is>
      </c>
      <c r="L21" s="6" t="inlineStr">
        <is>
          <t>same Lactotransferrin self-complex as added target 4N6P (15-way duplicate cluster)</t>
        </is>
      </c>
    </row>
    <row r="22">
      <c r="A22" s="5" t="inlineStr">
        <is>
          <t>3TOD</t>
        </is>
      </c>
      <c r="B22" s="5" t="inlineStr">
        <is>
          <t>lactoferricin</t>
        </is>
      </c>
      <c r="C22" s="5" t="inlineStr">
        <is>
          <t>335</t>
        </is>
      </c>
      <c r="D22" s="5" t="inlineStr">
        <is>
          <t>6</t>
        </is>
      </c>
      <c r="E22" s="5" t="inlineStr">
        <is>
          <t>1.0</t>
        </is>
      </c>
      <c r="F22" s="5" t="inlineStr"/>
      <c r="G22" s="5" t="inlineStr">
        <is>
          <t>A</t>
        </is>
      </c>
      <c r="H22" s="5" t="inlineStr">
        <is>
          <t>B</t>
        </is>
      </c>
      <c r="I22" s="5" t="inlineStr">
        <is>
          <t>ok</t>
        </is>
      </c>
      <c r="J22" s="5" t="inlineStr">
        <is>
          <t>6</t>
        </is>
      </c>
      <c r="K22" s="5" t="inlineStr">
        <is>
          <t>NOT ADDED (redundant)</t>
        </is>
      </c>
      <c r="L22" s="6" t="inlineStr">
        <is>
          <t>same Lactotransferrin self-complex as added target 4N6P (15-way duplicate cluster)</t>
        </is>
      </c>
    </row>
    <row r="23">
      <c r="A23" s="5" t="inlineStr">
        <is>
          <t>3U8Q</t>
        </is>
      </c>
      <c r="B23" s="5" t="inlineStr">
        <is>
          <t>lactoferricin</t>
        </is>
      </c>
      <c r="C23" s="5" t="inlineStr">
        <is>
          <t>335</t>
        </is>
      </c>
      <c r="D23" s="5" t="inlineStr">
        <is>
          <t>6</t>
        </is>
      </c>
      <c r="E23" s="5" t="inlineStr">
        <is>
          <t>1.0</t>
        </is>
      </c>
      <c r="F23" s="5" t="inlineStr"/>
      <c r="G23" s="5" t="inlineStr">
        <is>
          <t>A</t>
        </is>
      </c>
      <c r="H23" s="5" t="inlineStr">
        <is>
          <t>B</t>
        </is>
      </c>
      <c r="I23" s="5" t="inlineStr">
        <is>
          <t>ok</t>
        </is>
      </c>
      <c r="J23" s="5" t="inlineStr">
        <is>
          <t>6</t>
        </is>
      </c>
      <c r="K23" s="5" t="inlineStr">
        <is>
          <t>NOT ADDED (redundant)</t>
        </is>
      </c>
      <c r="L23" s="6" t="inlineStr">
        <is>
          <t>same Lactotransferrin self-complex as added target 4N6P (15-way duplicate cluster)</t>
        </is>
      </c>
    </row>
    <row r="24">
      <c r="A24" s="5" t="inlineStr">
        <is>
          <t>3UGW</t>
        </is>
      </c>
      <c r="B24" s="5" t="inlineStr">
        <is>
          <t>lactoferricin</t>
        </is>
      </c>
      <c r="C24" s="5" t="inlineStr">
        <is>
          <t>335</t>
        </is>
      </c>
      <c r="D24" s="5" t="inlineStr">
        <is>
          <t>6</t>
        </is>
      </c>
      <c r="E24" s="5" t="inlineStr">
        <is>
          <t>1.0</t>
        </is>
      </c>
      <c r="F24" s="5" t="inlineStr"/>
      <c r="G24" s="5" t="inlineStr">
        <is>
          <t>A</t>
        </is>
      </c>
      <c r="H24" s="5" t="inlineStr">
        <is>
          <t>B</t>
        </is>
      </c>
      <c r="I24" s="5" t="inlineStr">
        <is>
          <t>ok</t>
        </is>
      </c>
      <c r="J24" s="5" t="inlineStr">
        <is>
          <t>6</t>
        </is>
      </c>
      <c r="K24" s="5" t="inlineStr">
        <is>
          <t>NOT ADDED (redundant)</t>
        </is>
      </c>
      <c r="L24" s="6" t="inlineStr">
        <is>
          <t>same Lactotransferrin self-complex as added target 4N6P (15-way duplicate cluster)</t>
        </is>
      </c>
    </row>
    <row r="25">
      <c r="A25" s="5" t="inlineStr">
        <is>
          <t>3UK4</t>
        </is>
      </c>
      <c r="B25" s="5" t="inlineStr">
        <is>
          <t>lactoferricin</t>
        </is>
      </c>
      <c r="C25" s="5" t="inlineStr">
        <is>
          <t>335</t>
        </is>
      </c>
      <c r="D25" s="5" t="inlineStr">
        <is>
          <t>6</t>
        </is>
      </c>
      <c r="E25" s="5" t="inlineStr">
        <is>
          <t>1.0</t>
        </is>
      </c>
      <c r="F25" s="5" t="inlineStr"/>
      <c r="G25" s="5" t="inlineStr">
        <is>
          <t>A</t>
        </is>
      </c>
      <c r="H25" s="5" t="inlineStr">
        <is>
          <t>B</t>
        </is>
      </c>
      <c r="I25" s="5" t="inlineStr">
        <is>
          <t>ok</t>
        </is>
      </c>
      <c r="J25" s="5" t="inlineStr">
        <is>
          <t>6</t>
        </is>
      </c>
      <c r="K25" s="5" t="inlineStr">
        <is>
          <t>NOT ADDED (redundant)</t>
        </is>
      </c>
      <c r="L25" s="6" t="inlineStr">
        <is>
          <t>same Lactotransferrin self-complex as added target 4N6P (15-way duplicate cluster)</t>
        </is>
      </c>
    </row>
    <row r="26">
      <c r="A26" s="5" t="inlineStr">
        <is>
          <t>3USD</t>
        </is>
      </c>
      <c r="B26" s="5" t="inlineStr">
        <is>
          <t>lactoferricin</t>
        </is>
      </c>
      <c r="C26" s="5" t="inlineStr">
        <is>
          <t>335</t>
        </is>
      </c>
      <c r="D26" s="5" t="inlineStr">
        <is>
          <t>6</t>
        </is>
      </c>
      <c r="E26" s="5" t="inlineStr">
        <is>
          <t>1.0</t>
        </is>
      </c>
      <c r="F26" s="5" t="inlineStr"/>
      <c r="G26" s="5" t="inlineStr">
        <is>
          <t>A</t>
        </is>
      </c>
      <c r="H26" s="5" t="inlineStr">
        <is>
          <t>B</t>
        </is>
      </c>
      <c r="I26" s="5" t="inlineStr">
        <is>
          <t>ok</t>
        </is>
      </c>
      <c r="J26" s="5" t="inlineStr">
        <is>
          <t>6</t>
        </is>
      </c>
      <c r="K26" s="5" t="inlineStr">
        <is>
          <t>NOT ADDED (redundant)</t>
        </is>
      </c>
      <c r="L26" s="6" t="inlineStr">
        <is>
          <t>same Lactotransferrin self-complex as added target 4N6P (15-way duplicate cluster)</t>
        </is>
      </c>
    </row>
    <row r="27">
      <c r="A27" s="5" t="inlineStr">
        <is>
          <t>4DIG</t>
        </is>
      </c>
      <c r="B27" s="5" t="inlineStr">
        <is>
          <t>lactoferricin</t>
        </is>
      </c>
      <c r="C27" s="5" t="inlineStr">
        <is>
          <t>335</t>
        </is>
      </c>
      <c r="D27" s="5" t="inlineStr">
        <is>
          <t>6</t>
        </is>
      </c>
      <c r="E27" s="5" t="inlineStr">
        <is>
          <t>1.0</t>
        </is>
      </c>
      <c r="F27" s="5" t="inlineStr"/>
      <c r="G27" s="5" t="inlineStr">
        <is>
          <t>A</t>
        </is>
      </c>
      <c r="H27" s="5" t="inlineStr">
        <is>
          <t>B</t>
        </is>
      </c>
      <c r="I27" s="5" t="inlineStr">
        <is>
          <t>ok</t>
        </is>
      </c>
      <c r="J27" s="5" t="inlineStr">
        <is>
          <t>6</t>
        </is>
      </c>
      <c r="K27" s="5" t="inlineStr">
        <is>
          <t>NOT ADDED (redundant)</t>
        </is>
      </c>
      <c r="L27" s="6" t="inlineStr">
        <is>
          <t>same Lactotransferrin self-complex as added target 4N6P (15-way duplicate cluster)</t>
        </is>
      </c>
    </row>
    <row r="28">
      <c r="A28" s="5" t="inlineStr">
        <is>
          <t>8AHT</t>
        </is>
      </c>
      <c r="B28" s="5" t="inlineStr">
        <is>
          <t>melittin</t>
        </is>
      </c>
      <c r="C28" s="5" t="inlineStr">
        <is>
          <t>149</t>
        </is>
      </c>
      <c r="D28" s="5" t="inlineStr">
        <is>
          <t>26</t>
        </is>
      </c>
      <c r="E28" s="5" t="inlineStr">
        <is>
          <t>0.96</t>
        </is>
      </c>
      <c r="F28" s="5" t="inlineStr"/>
      <c r="G28" s="5" t="inlineStr">
        <is>
          <t>A</t>
        </is>
      </c>
      <c r="H28" s="5" t="inlineStr">
        <is>
          <t>F</t>
        </is>
      </c>
      <c r="I28" s="5" t="inlineStr">
        <is>
          <t>ok</t>
        </is>
      </c>
      <c r="J28" s="5" t="inlineStr">
        <is>
          <t>25</t>
        </is>
      </c>
      <c r="K28" s="5" t="inlineStr">
        <is>
          <t>ADDED</t>
        </is>
      </c>
      <c r="L28" s="6" t="inlineStr">
        <is>
          <t>confirmed relevant, non-redundant AMP complex</t>
        </is>
      </c>
    </row>
    <row r="29">
      <c r="A29" s="5" t="inlineStr">
        <is>
          <t>7SAY</t>
        </is>
      </c>
      <c r="B29" s="5" t="inlineStr">
        <is>
          <t>antimicrobial peptide;cathelicidin;LL-37</t>
        </is>
      </c>
      <c r="C29" s="5" t="inlineStr">
        <is>
          <t>71</t>
        </is>
      </c>
      <c r="D29" s="5" t="inlineStr">
        <is>
          <t>37</t>
        </is>
      </c>
      <c r="E29" s="5" t="inlineStr">
        <is>
          <t>0.95</t>
        </is>
      </c>
      <c r="F29" s="5" t="inlineStr"/>
      <c r="G29" s="5" t="inlineStr">
        <is>
          <t>A</t>
        </is>
      </c>
      <c r="H29" s="5" t="inlineStr">
        <is>
          <t>E</t>
        </is>
      </c>
      <c r="I29" s="5" t="inlineStr">
        <is>
          <t>ok</t>
        </is>
      </c>
      <c r="J29" s="5" t="inlineStr">
        <is>
          <t>35</t>
        </is>
      </c>
      <c r="K29" s="5" t="inlineStr">
        <is>
          <t>ADDED</t>
        </is>
      </c>
      <c r="L29" s="6" t="inlineStr">
        <is>
          <t>confirmed relevant, non-redundant AMP complex</t>
        </is>
      </c>
    </row>
    <row r="30">
      <c r="A30" s="5" t="inlineStr">
        <is>
          <t>4U2W</t>
        </is>
      </c>
      <c r="B30" s="5" t="inlineStr">
        <is>
          <t>antimicrobial peptide</t>
        </is>
      </c>
      <c r="C30" s="5" t="inlineStr">
        <is>
          <t>223</t>
        </is>
      </c>
      <c r="D30" s="5" t="inlineStr">
        <is>
          <t>16</t>
        </is>
      </c>
      <c r="E30" s="5" t="inlineStr">
        <is>
          <t>0.94</t>
        </is>
      </c>
      <c r="F30" s="5" t="inlineStr"/>
      <c r="G30" s="5" t="inlineStr">
        <is>
          <t>A</t>
        </is>
      </c>
      <c r="H30" s="5" t="inlineStr">
        <is>
          <t>B</t>
        </is>
      </c>
      <c r="I30" s="5" t="inlineStr">
        <is>
          <t>ok</t>
        </is>
      </c>
      <c r="J30" s="5" t="inlineStr">
        <is>
          <t>15</t>
        </is>
      </c>
      <c r="K30" s="5" t="inlineStr">
        <is>
          <t>NOT ADDED (not AMP-relevant)</t>
        </is>
      </c>
      <c r="L30" s="6" t="inlineStr">
        <is>
          <t>trypsin + Bowman-Birk protease inhibitor, not antimicrobial</t>
        </is>
      </c>
    </row>
    <row r="31">
      <c r="A31" s="5" t="inlineStr">
        <is>
          <t>8RTZ</t>
        </is>
      </c>
      <c r="B31" s="5" t="inlineStr">
        <is>
          <t>antimicrobial peptide</t>
        </is>
      </c>
      <c r="C31" s="5" t="inlineStr">
        <is>
          <t>348</t>
        </is>
      </c>
      <c r="D31" s="5" t="inlineStr">
        <is>
          <t>15</t>
        </is>
      </c>
      <c r="E31" s="5" t="inlineStr">
        <is>
          <t>0.93</t>
        </is>
      </c>
      <c r="F31" s="5" t="inlineStr"/>
      <c r="G31" s="5" t="inlineStr">
        <is>
          <t>AAA</t>
        </is>
      </c>
      <c r="H31" s="5" t="inlineStr">
        <is>
          <t>A</t>
        </is>
      </c>
      <c r="I31" s="5" t="inlineStr">
        <is>
          <t>ok</t>
        </is>
      </c>
      <c r="J31" s="5" t="inlineStr">
        <is>
          <t>14</t>
        </is>
      </c>
      <c r="K31" s="5" t="inlineStr">
        <is>
          <t>NOT ADDED (not AMP-relevant)</t>
        </is>
      </c>
      <c r="L31" s="6" t="inlineStr">
        <is>
          <t>FtsI + bicyclic/macrocyclic inhibitor peptide -- wrong topology</t>
        </is>
      </c>
    </row>
    <row r="32">
      <c r="A32" s="5" t="inlineStr">
        <is>
          <t>7NEF</t>
        </is>
      </c>
      <c r="B32" s="5" t="inlineStr">
        <is>
          <t>antimicrobial peptide</t>
        </is>
      </c>
      <c r="C32" s="5" t="inlineStr">
        <is>
          <t>115</t>
        </is>
      </c>
      <c r="D32" s="5" t="inlineStr">
        <is>
          <t>12</t>
        </is>
      </c>
      <c r="E32" s="5" t="inlineStr">
        <is>
          <t>0.92</t>
        </is>
      </c>
      <c r="F32" s="5" t="inlineStr"/>
      <c r="G32" s="5" t="inlineStr">
        <is>
          <t>A</t>
        </is>
      </c>
      <c r="H32" s="5" t="inlineStr">
        <is>
          <t>I</t>
        </is>
      </c>
      <c r="I32" s="5" t="inlineStr">
        <is>
          <t>ok</t>
        </is>
      </c>
      <c r="J32" s="5" t="inlineStr">
        <is>
          <t>11</t>
        </is>
      </c>
      <c r="K32" s="5" t="inlineStr">
        <is>
          <t>NOT ADDED</t>
        </is>
      </c>
      <c r="L32" s="6" t="inlineStr">
        <is>
          <t>unencodable X in peptide SEQRES (found by full prep_native.py audit)</t>
        </is>
      </c>
    </row>
    <row r="33">
      <c r="A33" s="5" t="inlineStr">
        <is>
          <t>8GAJ</t>
        </is>
      </c>
      <c r="B33" s="5" t="inlineStr">
        <is>
          <t>thanatin</t>
        </is>
      </c>
      <c r="C33" s="5" t="inlineStr">
        <is>
          <t>132</t>
        </is>
      </c>
      <c r="D33" s="5" t="inlineStr">
        <is>
          <t>21</t>
        </is>
      </c>
      <c r="E33" s="5" t="inlineStr">
        <is>
          <t>0.9</t>
        </is>
      </c>
      <c r="F33" s="5" t="inlineStr"/>
      <c r="G33" s="5" t="inlineStr">
        <is>
          <t>A</t>
        </is>
      </c>
      <c r="H33" s="5" t="inlineStr">
        <is>
          <t>B</t>
        </is>
      </c>
      <c r="I33" s="5" t="inlineStr">
        <is>
          <t>ok</t>
        </is>
      </c>
      <c r="J33" s="5" t="inlineStr">
        <is>
          <t>19</t>
        </is>
      </c>
      <c r="K33" s="5" t="inlineStr">
        <is>
          <t>NOT ADDED (redundant)</t>
        </is>
      </c>
      <c r="L33" s="6" t="inlineStr">
        <is>
          <t>same LptA+Thanatin complex as existing target 8GAL</t>
        </is>
      </c>
    </row>
    <row r="34">
      <c r="A34" s="5" t="inlineStr">
        <is>
          <t>4E81</t>
        </is>
      </c>
      <c r="B34" s="5" t="inlineStr">
        <is>
          <t>apidaecin</t>
        </is>
      </c>
      <c r="C34" s="5" t="inlineStr">
        <is>
          <t>219</t>
        </is>
      </c>
      <c r="D34" s="5" t="inlineStr">
        <is>
          <t>10</t>
        </is>
      </c>
      <c r="E34" s="5" t="inlineStr">
        <is>
          <t>0.9</t>
        </is>
      </c>
      <c r="F34" s="5" t="inlineStr"/>
      <c r="G34" s="5" t="inlineStr">
        <is>
          <t>A</t>
        </is>
      </c>
      <c r="H34" s="5" t="inlineStr">
        <is>
          <t>C</t>
        </is>
      </c>
      <c r="I34" s="5" t="inlineStr">
        <is>
          <t>ok</t>
        </is>
      </c>
      <c r="J34" s="5" t="inlineStr">
        <is>
          <t>9</t>
        </is>
      </c>
      <c r="K34" s="5" t="inlineStr">
        <is>
          <t>ADDED</t>
        </is>
      </c>
      <c r="L34" s="6" t="inlineStr">
        <is>
          <t>confirmed relevant, non-redundant AMP complex</t>
        </is>
      </c>
    </row>
    <row r="35">
      <c r="A35" s="5" t="inlineStr">
        <is>
          <t>8AHS</t>
        </is>
      </c>
      <c r="B35" s="5" t="inlineStr">
        <is>
          <t>melittin</t>
        </is>
      </c>
      <c r="C35" s="5" t="inlineStr">
        <is>
          <t>149</t>
        </is>
      </c>
      <c r="D35" s="5" t="inlineStr">
        <is>
          <t>26</t>
        </is>
      </c>
      <c r="E35" s="5" t="inlineStr">
        <is>
          <t>0.88</t>
        </is>
      </c>
      <c r="F35" s="5" t="inlineStr"/>
      <c r="G35" s="5" t="inlineStr">
        <is>
          <t>A</t>
        </is>
      </c>
      <c r="H35" s="5" t="inlineStr">
        <is>
          <t>C</t>
        </is>
      </c>
      <c r="I35" s="5" t="inlineStr">
        <is>
          <t>ok</t>
        </is>
      </c>
      <c r="J35" s="5" t="inlineStr">
        <is>
          <t>23</t>
        </is>
      </c>
      <c r="K35" s="5" t="inlineStr">
        <is>
          <t>NOT ADDED (redundant)</t>
        </is>
      </c>
      <c r="L35" s="6" t="inlineStr">
        <is>
          <t>same Calmodulin+Melittin complex as added target 8AHT (lower resolved fraction)</t>
        </is>
      </c>
    </row>
    <row r="36">
      <c r="A36" s="5" t="inlineStr">
        <is>
          <t>6ACO</t>
        </is>
      </c>
      <c r="B36" s="5" t="inlineStr">
        <is>
          <t>antimicrobial peptide</t>
        </is>
      </c>
      <c r="C36" s="5" t="inlineStr">
        <is>
          <t>270</t>
        </is>
      </c>
      <c r="D36" s="5" t="inlineStr">
        <is>
          <t>7</t>
        </is>
      </c>
      <c r="E36" s="5" t="inlineStr">
        <is>
          <t>0.86</t>
        </is>
      </c>
      <c r="F36" s="5" t="inlineStr"/>
      <c r="G36" s="5" t="inlineStr">
        <is>
          <t>A</t>
        </is>
      </c>
      <c r="H36" s="5" t="inlineStr">
        <is>
          <t>B</t>
        </is>
      </c>
      <c r="I36" s="5" t="inlineStr">
        <is>
          <t>ok</t>
        </is>
      </c>
      <c r="J36" s="5" t="inlineStr">
        <is>
          <t>6</t>
        </is>
      </c>
      <c r="K36" s="5" t="inlineStr">
        <is>
          <t>NOT ADDED (not AMP-relevant)</t>
        </is>
      </c>
      <c r="L36" s="6" t="inlineStr">
        <is>
          <t>Sirtuin-5 + succinylated histone peptide -- metabolism, not antimicrobial</t>
        </is>
      </c>
    </row>
    <row r="37">
      <c r="A37" s="5" t="inlineStr">
        <is>
          <t>4EZU</t>
        </is>
      </c>
      <c r="B37" s="5" t="inlineStr">
        <is>
          <t>antimicrobial peptide</t>
        </is>
      </c>
      <c r="C37" s="5" t="inlineStr">
        <is>
          <t>219</t>
        </is>
      </c>
      <c r="D37" s="5" t="inlineStr">
        <is>
          <t>17</t>
        </is>
      </c>
      <c r="E37" s="5" t="inlineStr">
        <is>
          <t>0.82</t>
        </is>
      </c>
      <c r="F37" s="5" t="inlineStr"/>
      <c r="G37" s="5" t="inlineStr">
        <is>
          <t>A</t>
        </is>
      </c>
      <c r="H37" s="5" t="inlineStr">
        <is>
          <t>B</t>
        </is>
      </c>
      <c r="I37" s="5" t="inlineStr">
        <is>
          <t>ok</t>
        </is>
      </c>
      <c r="J37" s="5" t="inlineStr">
        <is>
          <t>14</t>
        </is>
      </c>
      <c r="K37" s="5" t="inlineStr">
        <is>
          <t>ADDED</t>
        </is>
      </c>
      <c r="L37" s="6" t="inlineStr">
        <is>
          <t>confirmed relevant, non-redundant AMP complex</t>
        </is>
      </c>
    </row>
    <row r="38">
      <c r="A38" s="5" t="inlineStr">
        <is>
          <t>1AVF</t>
        </is>
      </c>
      <c r="B38" s="5" t="inlineStr">
        <is>
          <t>antimicrobial peptide</t>
        </is>
      </c>
      <c r="C38" s="5" t="inlineStr">
        <is>
          <t>329</t>
        </is>
      </c>
      <c r="D38" s="5" t="inlineStr">
        <is>
          <t>26</t>
        </is>
      </c>
      <c r="E38" s="5" t="inlineStr">
        <is>
          <t>0.81</t>
        </is>
      </c>
      <c r="F38" s="5" t="inlineStr"/>
      <c r="G38" s="5" t="inlineStr">
        <is>
          <t>A</t>
        </is>
      </c>
      <c r="H38" s="5" t="inlineStr">
        <is>
          <t>P</t>
        </is>
      </c>
      <c r="I38" s="5" t="inlineStr">
        <is>
          <t>ok</t>
        </is>
      </c>
      <c r="J38" s="5" t="inlineStr">
        <is>
          <t>21</t>
        </is>
      </c>
      <c r="K38" s="5" t="inlineStr">
        <is>
          <t>NOT ADDED (not AMP-relevant)</t>
        </is>
      </c>
      <c r="L38" s="6" t="inlineStr">
        <is>
          <t>Gastricsin protease self-complex, not antimicrobial</t>
        </is>
      </c>
    </row>
    <row r="39">
      <c r="A39" s="5" t="inlineStr">
        <is>
          <t>4JWI</t>
        </is>
      </c>
      <c r="B39" s="5" t="inlineStr">
        <is>
          <t>antimicrobial peptide;cathelicidin;bactenecin</t>
        </is>
      </c>
      <c r="C39" s="5" t="inlineStr">
        <is>
          <t>219</t>
        </is>
      </c>
      <c r="D39" s="5" t="inlineStr">
        <is>
          <t>10</t>
        </is>
      </c>
      <c r="E39" s="5" t="inlineStr">
        <is>
          <t>0.8</t>
        </is>
      </c>
      <c r="F39" s="5" t="inlineStr"/>
      <c r="G39" s="5" t="inlineStr">
        <is>
          <t>A</t>
        </is>
      </c>
      <c r="H39" s="5" t="inlineStr">
        <is>
          <t>C</t>
        </is>
      </c>
      <c r="I39" s="5" t="inlineStr">
        <is>
          <t>ok</t>
        </is>
      </c>
      <c r="J39" s="5" t="inlineStr">
        <is>
          <t>8</t>
        </is>
      </c>
      <c r="K39" s="5" t="inlineStr">
        <is>
          <t>NOT ADDED</t>
        </is>
      </c>
      <c r="L39" s="6" t="inlineStr">
        <is>
          <t>unencodable X in peptide SEQRES (found by full prep_native.py audit)</t>
        </is>
      </c>
    </row>
    <row r="40">
      <c r="A40" s="5" t="inlineStr">
        <is>
          <t>4F00</t>
        </is>
      </c>
      <c r="B40" s="5" t="inlineStr">
        <is>
          <t>apidaecin</t>
        </is>
      </c>
      <c r="C40" s="5" t="inlineStr">
        <is>
          <t>219</t>
        </is>
      </c>
      <c r="D40" s="5" t="inlineStr">
        <is>
          <t>10</t>
        </is>
      </c>
      <c r="E40" s="5" t="inlineStr">
        <is>
          <t>0.8</t>
        </is>
      </c>
      <c r="F40" s="5" t="inlineStr"/>
      <c r="G40" s="5" t="inlineStr">
        <is>
          <t>A</t>
        </is>
      </c>
      <c r="H40" s="5" t="inlineStr">
        <is>
          <t>B</t>
        </is>
      </c>
      <c r="I40" s="5" t="inlineStr">
        <is>
          <t>ok</t>
        </is>
      </c>
      <c r="J40" s="5" t="inlineStr">
        <is>
          <t>8</t>
        </is>
      </c>
      <c r="K40" s="5" t="inlineStr">
        <is>
          <t>NOT ADDED (redundant)</t>
        </is>
      </c>
      <c r="L40" s="6" t="inlineStr">
        <is>
          <t>same DnaK+Apidaecin complex as added target 4E81 (lower resolved fraction)</t>
        </is>
      </c>
    </row>
    <row r="41">
      <c r="A41" s="5" t="inlineStr">
        <is>
          <t>5I8X</t>
        </is>
      </c>
      <c r="B41" s="5" t="inlineStr">
        <is>
          <t>antimicrobial peptide</t>
        </is>
      </c>
      <c r="C41" s="5" t="inlineStr">
        <is>
          <t>114</t>
        </is>
      </c>
      <c r="D41" s="5" t="inlineStr">
        <is>
          <t>9</t>
        </is>
      </c>
      <c r="E41" s="5" t="inlineStr">
        <is>
          <t>0.78</t>
        </is>
      </c>
      <c r="F41" s="5" t="inlineStr"/>
      <c r="G41" s="5" t="inlineStr">
        <is>
          <t>A</t>
        </is>
      </c>
      <c r="H41" s="5" t="inlineStr">
        <is>
          <t>E</t>
        </is>
      </c>
      <c r="I41" s="5" t="inlineStr">
        <is>
          <t>caution: partial peptide</t>
        </is>
      </c>
      <c r="J41" s="5" t="inlineStr">
        <is>
          <t>7</t>
        </is>
      </c>
      <c r="K41" s="5" t="inlineStr">
        <is>
          <t>NOT ADDED (optional)</t>
        </is>
      </c>
      <c r="L41" s="6" t="inlineStr">
        <is>
          <t>LecB receptor already represented via the dropped D-peptide series; designed peptide, not a natural AMP -- optional add if more LecB-family diversity is wanted</t>
        </is>
      </c>
    </row>
    <row r="42">
      <c r="A42" s="5" t="inlineStr">
        <is>
          <t>5I8M</t>
        </is>
      </c>
      <c r="B42" s="5" t="inlineStr">
        <is>
          <t>antimicrobial peptide</t>
        </is>
      </c>
      <c r="C42" s="5" t="inlineStr">
        <is>
          <t>114</t>
        </is>
      </c>
      <c r="D42" s="5" t="inlineStr">
        <is>
          <t>9</t>
        </is>
      </c>
      <c r="E42" s="5" t="inlineStr">
        <is>
          <t>0.78</t>
        </is>
      </c>
      <c r="F42" s="5" t="inlineStr"/>
      <c r="G42" s="5" t="inlineStr">
        <is>
          <t>A</t>
        </is>
      </c>
      <c r="H42" s="5" t="inlineStr">
        <is>
          <t>E</t>
        </is>
      </c>
      <c r="I42" s="5" t="inlineStr">
        <is>
          <t>caution: partial peptide</t>
        </is>
      </c>
      <c r="J42" s="5" t="inlineStr">
        <is>
          <t>7</t>
        </is>
      </c>
      <c r="K42" s="5" t="inlineStr">
        <is>
          <t>NOT ADDED (redundant)</t>
        </is>
      </c>
      <c r="L42" s="6" t="inlineStr">
        <is>
          <t>same LecB+designed-peptide complex as 5I8X</t>
        </is>
      </c>
    </row>
    <row r="43">
      <c r="A43" s="5" t="inlineStr">
        <is>
          <t>4EZQ</t>
        </is>
      </c>
      <c r="B43" s="5" t="inlineStr">
        <is>
          <t>pyrrhocoricin</t>
        </is>
      </c>
      <c r="C43" s="5" t="inlineStr">
        <is>
          <t>219</t>
        </is>
      </c>
      <c r="D43" s="5" t="inlineStr">
        <is>
          <t>9</t>
        </is>
      </c>
      <c r="E43" s="5" t="inlineStr">
        <is>
          <t>0.78</t>
        </is>
      </c>
      <c r="F43" s="5" t="inlineStr"/>
      <c r="G43" s="5" t="inlineStr">
        <is>
          <t>A</t>
        </is>
      </c>
      <c r="H43" s="5" t="inlineStr">
        <is>
          <t>B</t>
        </is>
      </c>
      <c r="I43" s="5" t="inlineStr">
        <is>
          <t>caution: partial peptide</t>
        </is>
      </c>
      <c r="J43" s="5" t="inlineStr">
        <is>
          <t>7</t>
        </is>
      </c>
      <c r="K43" s="5" t="inlineStr">
        <is>
          <t>ADDED</t>
        </is>
      </c>
      <c r="L43" s="6" t="inlineStr">
        <is>
          <t>confirmed relevant, non-redundant AMP complex</t>
        </is>
      </c>
    </row>
    <row r="44">
      <c r="A44" s="5" t="inlineStr">
        <is>
          <t>3QRX</t>
        </is>
      </c>
      <c r="B44" s="5" t="inlineStr">
        <is>
          <t>melittin</t>
        </is>
      </c>
      <c r="C44" s="5" t="inlineStr">
        <is>
          <t>169</t>
        </is>
      </c>
      <c r="D44" s="5" t="inlineStr">
        <is>
          <t>26</t>
        </is>
      </c>
      <c r="E44" s="5" t="inlineStr">
        <is>
          <t>0.77</t>
        </is>
      </c>
      <c r="F44" s="5" t="inlineStr"/>
      <c r="G44" s="5" t="inlineStr">
        <is>
          <t>A</t>
        </is>
      </c>
      <c r="H44" s="5" t="inlineStr">
        <is>
          <t>B</t>
        </is>
      </c>
      <c r="I44" s="5" t="inlineStr">
        <is>
          <t>caution: partial peptide</t>
        </is>
      </c>
      <c r="J44" s="5" t="inlineStr">
        <is>
          <t>20</t>
        </is>
      </c>
      <c r="K44" s="5" t="inlineStr">
        <is>
          <t>ADDED</t>
        </is>
      </c>
      <c r="L44" s="6" t="inlineStr">
        <is>
          <t>confirmed relevant, non-redundant AMP complex</t>
        </is>
      </c>
    </row>
    <row r="45">
      <c r="A45" s="5" t="inlineStr">
        <is>
          <t>4EZV</t>
        </is>
      </c>
      <c r="B45" s="5" t="inlineStr">
        <is>
          <t>antimicrobial peptide</t>
        </is>
      </c>
      <c r="C45" s="5" t="inlineStr">
        <is>
          <t>219</t>
        </is>
      </c>
      <c r="D45" s="5" t="inlineStr">
        <is>
          <t>17</t>
        </is>
      </c>
      <c r="E45" s="5" t="inlineStr">
        <is>
          <t>0.76</t>
        </is>
      </c>
      <c r="F45" s="5" t="inlineStr"/>
      <c r="G45" s="5" t="inlineStr">
        <is>
          <t>A</t>
        </is>
      </c>
      <c r="H45" s="5" t="inlineStr">
        <is>
          <t>C</t>
        </is>
      </c>
      <c r="I45" s="5" t="inlineStr">
        <is>
          <t>caution: partial peptide</t>
        </is>
      </c>
      <c r="J45" s="5" t="inlineStr">
        <is>
          <t>13</t>
        </is>
      </c>
      <c r="K45" s="5" t="inlineStr">
        <is>
          <t>NOT ADDED (redundant)</t>
        </is>
      </c>
      <c r="L45" s="6" t="inlineStr">
        <is>
          <t>same DnaK+bombesin-peptide complex as added target 4EZU</t>
        </is>
      </c>
    </row>
    <row r="46">
      <c r="A46" s="5" t="inlineStr">
        <is>
          <t>2VKN</t>
        </is>
      </c>
      <c r="B46" s="5" t="inlineStr">
        <is>
          <t>polymyxin</t>
        </is>
      </c>
      <c r="C46" s="5" t="inlineStr">
        <is>
          <t>70</t>
        </is>
      </c>
      <c r="D46" s="5" t="inlineStr">
        <is>
          <t>12</t>
        </is>
      </c>
      <c r="E46" s="5" t="inlineStr">
        <is>
          <t>0.75</t>
        </is>
      </c>
      <c r="F46" s="5" t="inlineStr"/>
      <c r="G46" s="5" t="inlineStr">
        <is>
          <t>A</t>
        </is>
      </c>
      <c r="H46" s="5" t="inlineStr">
        <is>
          <t>C</t>
        </is>
      </c>
      <c r="I46" s="5" t="inlineStr">
        <is>
          <t>caution: partial peptide</t>
        </is>
      </c>
      <c r="J46" s="5" t="inlineStr">
        <is>
          <t>9</t>
        </is>
      </c>
      <c r="K46" s="5" t="inlineStr">
        <is>
          <t>NOT ADDED (not AMP-relevant)</t>
        </is>
      </c>
      <c r="L46" s="6" t="inlineStr">
        <is>
          <t>yeast MAP-kinase-kinase signalling complex, not antimicrobial</t>
        </is>
      </c>
    </row>
    <row r="47">
      <c r="A47" s="5" t="inlineStr">
        <is>
          <t>6RYF</t>
        </is>
      </c>
      <c r="B47" s="5" t="inlineStr">
        <is>
          <t>host defense peptide</t>
        </is>
      </c>
      <c r="C47" s="5" t="inlineStr">
        <is>
          <t>894</t>
        </is>
      </c>
      <c r="D47" s="5" t="inlineStr">
        <is>
          <t>14</t>
        </is>
      </c>
      <c r="E47" s="5" t="inlineStr">
        <is>
          <t>0.64</t>
        </is>
      </c>
      <c r="F47" s="5" t="inlineStr"/>
      <c r="G47" s="5" t="inlineStr">
        <is>
          <t>A</t>
        </is>
      </c>
      <c r="H47" s="5" t="inlineStr">
        <is>
          <t>G</t>
        </is>
      </c>
      <c r="I47" s="5" t="inlineStr">
        <is>
          <t>caution: partial peptide</t>
        </is>
      </c>
      <c r="J47" s="5" t="inlineStr">
        <is>
          <t>9</t>
        </is>
      </c>
      <c r="K47" s="5" t="inlineStr">
        <is>
          <t>NOT ADDED (not AMP-relevant)</t>
        </is>
      </c>
      <c r="L47" s="6" t="inlineStr">
        <is>
          <t>ERAP1 antigen-processing enzyme + generic substrate</t>
        </is>
      </c>
    </row>
    <row r="48">
      <c r="A48" s="5" t="inlineStr">
        <is>
          <t>4EZO</t>
        </is>
      </c>
      <c r="B48" s="5" t="inlineStr">
        <is>
          <t>antimicrobial peptide;cathelicidin</t>
        </is>
      </c>
      <c r="C48" s="5" t="inlineStr">
        <is>
          <t>219</t>
        </is>
      </c>
      <c r="D48" s="5" t="inlineStr">
        <is>
          <t>15</t>
        </is>
      </c>
      <c r="E48" s="5" t="inlineStr">
        <is>
          <t>0.53</t>
        </is>
      </c>
      <c r="F48" s="5" t="inlineStr"/>
      <c r="G48" s="5" t="inlineStr">
        <is>
          <t>A</t>
        </is>
      </c>
      <c r="H48" s="5" t="inlineStr">
        <is>
          <t>C</t>
        </is>
      </c>
      <c r="I48" s="5" t="inlineStr">
        <is>
          <t>caution: partial peptide</t>
        </is>
      </c>
      <c r="J48" s="5" t="inlineStr">
        <is>
          <t>8</t>
        </is>
      </c>
      <c r="K48" s="5" t="inlineStr">
        <is>
          <t>ADDED</t>
        </is>
      </c>
      <c r="L48" s="6" t="inlineStr">
        <is>
          <t>confirmed relevant, non-redundant AMP complex</t>
        </is>
      </c>
    </row>
    <row r="49">
      <c r="A49" s="5" t="inlineStr">
        <is>
          <t>2PSX</t>
        </is>
      </c>
      <c r="B49" s="5" t="inlineStr">
        <is>
          <t>antimicrobial peptide</t>
        </is>
      </c>
      <c r="C49" s="5" t="inlineStr">
        <is>
          <t>227</t>
        </is>
      </c>
      <c r="D49" s="5" t="inlineStr">
        <is>
          <t>4</t>
        </is>
      </c>
      <c r="E49" s="5" t="inlineStr">
        <is>
          <t>0.5</t>
        </is>
      </c>
      <c r="F49" s="5" t="inlineStr"/>
      <c r="G49" s="5" t="inlineStr">
        <is>
          <t>A</t>
        </is>
      </c>
      <c r="H49" s="5" t="inlineStr">
        <is>
          <t>B</t>
        </is>
      </c>
      <c r="I49" s="5" t="inlineStr">
        <is>
          <t>caution: partial peptide</t>
        </is>
      </c>
      <c r="J49" s="5" t="inlineStr">
        <is>
          <t>2</t>
        </is>
      </c>
      <c r="K49" s="5" t="inlineStr">
        <is>
          <t>NOT ADDED (not AMP-relevant)</t>
        </is>
      </c>
      <c r="L49" s="6" t="inlineStr">
        <is>
          <t>Kallikrein-5 + Leupeptin (protease inhibitor, not a ribosomal AMP)</t>
        </is>
      </c>
    </row>
    <row r="50">
      <c r="A50" s="5" t="inlineStr">
        <is>
          <t>2PSY</t>
        </is>
      </c>
      <c r="B50" s="5" t="inlineStr">
        <is>
          <t>antimicrobial peptide</t>
        </is>
      </c>
      <c r="C50" s="5" t="inlineStr">
        <is>
          <t>227</t>
        </is>
      </c>
      <c r="D50" s="5" t="inlineStr">
        <is>
          <t>4</t>
        </is>
      </c>
      <c r="E50" s="5" t="inlineStr">
        <is>
          <t>0.5</t>
        </is>
      </c>
      <c r="F50" s="5" t="inlineStr"/>
      <c r="G50" s="5" t="inlineStr">
        <is>
          <t>A</t>
        </is>
      </c>
      <c r="H50" s="5" t="inlineStr">
        <is>
          <t>B</t>
        </is>
      </c>
      <c r="I50" s="5" t="inlineStr">
        <is>
          <t>caution: partial peptide</t>
        </is>
      </c>
      <c r="J50" s="5" t="inlineStr">
        <is>
          <t>2</t>
        </is>
      </c>
      <c r="K50" s="5" t="inlineStr">
        <is>
          <t>NOT ADDED (redundant)</t>
        </is>
      </c>
      <c r="L50" s="6" t="inlineStr">
        <is>
          <t>same Kallikrein-5+Leupeptin complex as 2PSX</t>
        </is>
      </c>
    </row>
    <row r="51">
      <c r="A51" s="5" t="inlineStr">
        <is>
          <t>1TWQ</t>
        </is>
      </c>
      <c r="B51" s="5" t="inlineStr">
        <is>
          <t>antimicrobial peptide</t>
        </is>
      </c>
      <c r="C51" s="5" t="inlineStr">
        <is>
          <t>165</t>
        </is>
      </c>
      <c r="D51" s="5" t="inlineStr">
        <is>
          <t>4</t>
        </is>
      </c>
      <c r="E51" s="5" t="inlineStr">
        <is>
          <t>0.5</t>
        </is>
      </c>
      <c r="F51" s="5" t="inlineStr"/>
      <c r="G51" s="5" t="inlineStr">
        <is>
          <t>A</t>
        </is>
      </c>
      <c r="H51" s="5" t="inlineStr">
        <is>
          <t>P</t>
        </is>
      </c>
      <c r="I51" s="5" t="inlineStr">
        <is>
          <t>caution: partial peptide</t>
        </is>
      </c>
      <c r="J51" s="5" t="inlineStr">
        <is>
          <t>2</t>
        </is>
      </c>
      <c r="K51" s="5" t="inlineStr">
        <is>
          <t>NOT ADDED (not AMP-relevant)</t>
        </is>
      </c>
      <c r="L51" s="6" t="inlineStr">
        <is>
          <t>peptidoglycan recognition protein + muramyl tripeptide -- ligand is a cell-wall fragment, not an AMP</t>
        </is>
      </c>
    </row>
    <row r="52">
      <c r="A52" s="5" t="inlineStr">
        <is>
          <t>1HNE</t>
        </is>
      </c>
      <c r="B52" s="5" t="inlineStr">
        <is>
          <t>antimicrobial peptide</t>
        </is>
      </c>
      <c r="C52" s="5" t="inlineStr">
        <is>
          <t>218</t>
        </is>
      </c>
      <c r="D52" s="5" t="inlineStr">
        <is>
          <t>6</t>
        </is>
      </c>
      <c r="E52" s="5" t="inlineStr">
        <is>
          <t>0.5</t>
        </is>
      </c>
      <c r="F52" s="5" t="inlineStr"/>
      <c r="G52" s="5" t="inlineStr">
        <is>
          <t>E</t>
        </is>
      </c>
      <c r="H52" s="5" t="inlineStr">
        <is>
          <t>I</t>
        </is>
      </c>
      <c r="I52" s="5" t="inlineStr">
        <is>
          <t>caution: partial peptide</t>
        </is>
      </c>
      <c r="J52" s="5" t="inlineStr">
        <is>
          <t>3</t>
        </is>
      </c>
      <c r="K52" s="5" t="inlineStr">
        <is>
          <t>NOT ADDED (not AMP-relevant)</t>
        </is>
      </c>
      <c r="L52" s="6" t="inlineStr">
        <is>
          <t>human leukocyte elastase + synthetic chloromethylketone inhibitor peptide</t>
        </is>
      </c>
    </row>
    <row r="53">
      <c r="A53" s="5" t="inlineStr">
        <is>
          <t>1PPG</t>
        </is>
      </c>
      <c r="B53" s="5" t="inlineStr">
        <is>
          <t>antimicrobial peptide</t>
        </is>
      </c>
      <c r="C53" s="5" t="inlineStr">
        <is>
          <t>218</t>
        </is>
      </c>
      <c r="D53" s="5" t="inlineStr">
        <is>
          <t>6</t>
        </is>
      </c>
      <c r="E53" s="5" t="inlineStr">
        <is>
          <t>0.5</t>
        </is>
      </c>
      <c r="F53" s="5" t="inlineStr"/>
      <c r="G53" s="5" t="inlineStr">
        <is>
          <t>E</t>
        </is>
      </c>
      <c r="H53" s="5" t="inlineStr">
        <is>
          <t>I</t>
        </is>
      </c>
      <c r="I53" s="5" t="inlineStr">
        <is>
          <t>caution: partial peptide</t>
        </is>
      </c>
      <c r="J53" s="5" t="inlineStr">
        <is>
          <t>3</t>
        </is>
      </c>
      <c r="K53" s="5" t="inlineStr">
        <is>
          <t>NOT ADDED (redundant)</t>
        </is>
      </c>
      <c r="L53" s="6" t="inlineStr">
        <is>
          <t>same elastase+inhibitor complex as 1HNE</t>
        </is>
      </c>
    </row>
    <row r="54">
      <c r="A54" s="5" t="inlineStr">
        <is>
          <t>2EAX</t>
        </is>
      </c>
      <c r="B54" s="5" t="inlineStr">
        <is>
          <t>antimicrobial peptide</t>
        </is>
      </c>
      <c r="C54" s="5" t="inlineStr">
        <is>
          <t>164</t>
        </is>
      </c>
      <c r="D54" s="5" t="inlineStr">
        <is>
          <t>5</t>
        </is>
      </c>
      <c r="E54" s="5" t="inlineStr">
        <is>
          <t>1.0</t>
        </is>
      </c>
      <c r="F54" s="5" t="inlineStr">
        <is>
          <t>DAL;FGA</t>
        </is>
      </c>
      <c r="G54" s="5" t="inlineStr">
        <is>
          <t>A</t>
        </is>
      </c>
      <c r="H54" s="5" t="inlineStr">
        <is>
          <t>L</t>
        </is>
      </c>
      <c r="I54" s="5" t="inlineStr">
        <is>
          <t>drop: non-standard/D peptide residues</t>
        </is>
      </c>
      <c r="J54" s="5" t="inlineStr">
        <is>
          <t>5</t>
        </is>
      </c>
      <c r="K54" s="5" t="inlineStr">
        <is>
          <t>NOT ADDED</t>
        </is>
      </c>
      <c r="L54" s="6" t="inlineStr">
        <is>
          <t>failed the resolved-fraction / D-residue screen (see verdict)</t>
        </is>
      </c>
    </row>
    <row r="55">
      <c r="A55" s="5" t="inlineStr">
        <is>
          <t>6Q87</t>
        </is>
      </c>
      <c r="B55" s="5" t="inlineStr">
        <is>
          <t>antimicrobial peptide</t>
        </is>
      </c>
      <c r="C55" s="5" t="inlineStr">
        <is>
          <t>114</t>
        </is>
      </c>
      <c r="D55" s="5" t="inlineStr">
        <is>
          <t>13</t>
        </is>
      </c>
      <c r="E55" s="5" t="inlineStr">
        <is>
          <t>1.0</t>
        </is>
      </c>
      <c r="F55" s="5" t="inlineStr">
        <is>
          <t>DAL;DLE;DLY;DTY</t>
        </is>
      </c>
      <c r="G55" s="5" t="inlineStr">
        <is>
          <t>A</t>
        </is>
      </c>
      <c r="H55" s="5" t="inlineStr">
        <is>
          <t>B</t>
        </is>
      </c>
      <c r="I55" s="5" t="inlineStr">
        <is>
          <t>drop: non-standard/D peptide residues</t>
        </is>
      </c>
      <c r="J55" s="5" t="inlineStr">
        <is>
          <t>13</t>
        </is>
      </c>
      <c r="K55" s="5" t="inlineStr">
        <is>
          <t>NOT ADDED</t>
        </is>
      </c>
      <c r="L55" s="6" t="inlineStr">
        <is>
          <t>failed the resolved-fraction / D-residue screen (see verdict)</t>
        </is>
      </c>
    </row>
    <row r="56">
      <c r="A56" s="5" t="inlineStr">
        <is>
          <t>7NEW</t>
        </is>
      </c>
      <c r="B56" s="5" t="inlineStr">
        <is>
          <t>antimicrobial peptide</t>
        </is>
      </c>
      <c r="C56" s="5" t="inlineStr">
        <is>
          <t>115</t>
        </is>
      </c>
      <c r="D56" s="5" t="inlineStr">
        <is>
          <t>12</t>
        </is>
      </c>
      <c r="E56" s="5" t="inlineStr">
        <is>
          <t>0.92</t>
        </is>
      </c>
      <c r="F56" s="5" t="inlineStr">
        <is>
          <t>DLE</t>
        </is>
      </c>
      <c r="G56" s="5" t="inlineStr">
        <is>
          <t>A</t>
        </is>
      </c>
      <c r="H56" s="5" t="inlineStr">
        <is>
          <t>E</t>
        </is>
      </c>
      <c r="I56" s="5" t="inlineStr">
        <is>
          <t>drop: non-standard/D peptide residues</t>
        </is>
      </c>
      <c r="J56" s="5" t="inlineStr">
        <is>
          <t>11</t>
        </is>
      </c>
      <c r="K56" s="5" t="inlineStr">
        <is>
          <t>NOT ADDED</t>
        </is>
      </c>
      <c r="L56" s="6" t="inlineStr">
        <is>
          <t>failed the resolved-fraction / D-residue screen (see verdict)</t>
        </is>
      </c>
    </row>
    <row r="57">
      <c r="A57" s="5" t="inlineStr">
        <is>
          <t>8ANR</t>
        </is>
      </c>
      <c r="B57" s="5" t="inlineStr">
        <is>
          <t>antimicrobial peptide</t>
        </is>
      </c>
      <c r="C57" s="5" t="inlineStr">
        <is>
          <t>114</t>
        </is>
      </c>
      <c r="D57" s="5" t="inlineStr">
        <is>
          <t>12</t>
        </is>
      </c>
      <c r="E57" s="5" t="inlineStr">
        <is>
          <t>0.92</t>
        </is>
      </c>
      <c r="F57" s="5" t="inlineStr">
        <is>
          <t>DLE;DLY</t>
        </is>
      </c>
      <c r="G57" s="5" t="inlineStr">
        <is>
          <t>A</t>
        </is>
      </c>
      <c r="H57" s="5" t="inlineStr">
        <is>
          <t>C</t>
        </is>
      </c>
      <c r="I57" s="5" t="inlineStr">
        <is>
          <t>drop: non-standard/D peptide residues</t>
        </is>
      </c>
      <c r="J57" s="5" t="inlineStr">
        <is>
          <t>11</t>
        </is>
      </c>
      <c r="K57" s="5" t="inlineStr">
        <is>
          <t>NOT ADDED</t>
        </is>
      </c>
      <c r="L57" s="6" t="inlineStr">
        <is>
          <t>failed the resolved-fraction / D-residue screen (see verdict)</t>
        </is>
      </c>
    </row>
    <row r="58">
      <c r="A58" s="5" t="inlineStr">
        <is>
          <t>8AOO</t>
        </is>
      </c>
      <c r="B58" s="5" t="inlineStr">
        <is>
          <t>antimicrobial peptide</t>
        </is>
      </c>
      <c r="C58" s="5" t="inlineStr">
        <is>
          <t>114</t>
        </is>
      </c>
      <c r="D58" s="5" t="inlineStr">
        <is>
          <t>12</t>
        </is>
      </c>
      <c r="E58" s="5" t="inlineStr">
        <is>
          <t>0.92</t>
        </is>
      </c>
      <c r="F58" s="5" t="inlineStr">
        <is>
          <t>DLE;DLY</t>
        </is>
      </c>
      <c r="G58" s="5" t="inlineStr">
        <is>
          <t>A</t>
        </is>
      </c>
      <c r="H58" s="5" t="inlineStr">
        <is>
          <t>E</t>
        </is>
      </c>
      <c r="I58" s="5" t="inlineStr">
        <is>
          <t>drop: non-standard/D peptide residues</t>
        </is>
      </c>
      <c r="J58" s="5" t="inlineStr">
        <is>
          <t>11</t>
        </is>
      </c>
      <c r="K58" s="5" t="inlineStr">
        <is>
          <t>NOT ADDED</t>
        </is>
      </c>
      <c r="L58" s="6" t="inlineStr">
        <is>
          <t>failed the resolved-fraction / D-residue screen (see verdict)</t>
        </is>
      </c>
    </row>
    <row r="59">
      <c r="A59" s="5" t="inlineStr">
        <is>
          <t>8AN9</t>
        </is>
      </c>
      <c r="B59" s="5" t="inlineStr">
        <is>
          <t>antimicrobial peptide</t>
        </is>
      </c>
      <c r="C59" s="5" t="inlineStr">
        <is>
          <t>114</t>
        </is>
      </c>
      <c r="D59" s="5" t="inlineStr">
        <is>
          <t>12</t>
        </is>
      </c>
      <c r="E59" s="5" t="inlineStr">
        <is>
          <t>0.92</t>
        </is>
      </c>
      <c r="F59" s="5" t="inlineStr">
        <is>
          <t>DLE;DLY</t>
        </is>
      </c>
      <c r="G59" s="5" t="inlineStr">
        <is>
          <t>A</t>
        </is>
      </c>
      <c r="H59" s="5" t="inlineStr">
        <is>
          <t>E</t>
        </is>
      </c>
      <c r="I59" s="5" t="inlineStr">
        <is>
          <t>drop: non-standard/D peptide residues</t>
        </is>
      </c>
      <c r="J59" s="5" t="inlineStr">
        <is>
          <t>11</t>
        </is>
      </c>
      <c r="K59" s="5" t="inlineStr">
        <is>
          <t>NOT ADDED</t>
        </is>
      </c>
      <c r="L59" s="6" t="inlineStr">
        <is>
          <t>failed the resolved-fraction / D-residue screen (see verdict)</t>
        </is>
      </c>
    </row>
    <row r="60">
      <c r="A60" s="5" t="inlineStr">
        <is>
          <t>8ANO</t>
        </is>
      </c>
      <c r="B60" s="5" t="inlineStr">
        <is>
          <t>antimicrobial peptide</t>
        </is>
      </c>
      <c r="C60" s="5" t="inlineStr">
        <is>
          <t>114</t>
        </is>
      </c>
      <c r="D60" s="5" t="inlineStr">
        <is>
          <t>12</t>
        </is>
      </c>
      <c r="E60" s="5" t="inlineStr">
        <is>
          <t>0.92</t>
        </is>
      </c>
      <c r="F60" s="5" t="inlineStr">
        <is>
          <t>DLE;DLY</t>
        </is>
      </c>
      <c r="G60" s="5" t="inlineStr">
        <is>
          <t>A</t>
        </is>
      </c>
      <c r="H60" s="5" t="inlineStr">
        <is>
          <t>E</t>
        </is>
      </c>
      <c r="I60" s="5" t="inlineStr">
        <is>
          <t>drop: non-standard/D peptide residues</t>
        </is>
      </c>
      <c r="J60" s="5" t="inlineStr">
        <is>
          <t>11</t>
        </is>
      </c>
      <c r="K60" s="5" t="inlineStr">
        <is>
          <t>NOT ADDED</t>
        </is>
      </c>
      <c r="L60" s="6" t="inlineStr">
        <is>
          <t>failed the resolved-fraction / D-residue screen (see verdict)</t>
        </is>
      </c>
    </row>
    <row r="61">
      <c r="A61" s="5" t="inlineStr">
        <is>
          <t>3VVS</t>
        </is>
      </c>
      <c r="B61" s="5" t="inlineStr">
        <is>
          <t>antimicrobial peptide</t>
        </is>
      </c>
      <c r="C61" s="5" t="inlineStr">
        <is>
          <t>461</t>
        </is>
      </c>
      <c r="D61" s="5" t="inlineStr">
        <is>
          <t>11</t>
        </is>
      </c>
      <c r="E61" s="5" t="inlineStr">
        <is>
          <t>0.91</t>
        </is>
      </c>
      <c r="F61" s="5" t="inlineStr">
        <is>
          <t>DPN</t>
        </is>
      </c>
      <c r="G61" s="5" t="inlineStr">
        <is>
          <t>A</t>
        </is>
      </c>
      <c r="H61" s="5" t="inlineStr">
        <is>
          <t>B</t>
        </is>
      </c>
      <c r="I61" s="5" t="inlineStr">
        <is>
          <t>drop: non-standard/D peptide residues</t>
        </is>
      </c>
      <c r="J61" s="5" t="inlineStr">
        <is>
          <t>10</t>
        </is>
      </c>
      <c r="K61" s="5" t="inlineStr">
        <is>
          <t>NOT ADDED</t>
        </is>
      </c>
      <c r="L61" s="6" t="inlineStr">
        <is>
          <t>failed the resolved-fraction / D-residue screen (see verdict)</t>
        </is>
      </c>
    </row>
    <row r="62">
      <c r="A62" s="5" t="inlineStr">
        <is>
          <t>6Y0U</t>
        </is>
      </c>
      <c r="B62" s="5" t="inlineStr">
        <is>
          <t>antimicrobial peptide</t>
        </is>
      </c>
      <c r="C62" s="5" t="inlineStr">
        <is>
          <t>115</t>
        </is>
      </c>
      <c r="D62" s="5" t="inlineStr">
        <is>
          <t>14</t>
        </is>
      </c>
      <c r="E62" s="5" t="inlineStr">
        <is>
          <t>0.86</t>
        </is>
      </c>
      <c r="F62" s="5" t="inlineStr">
        <is>
          <t>DLY</t>
        </is>
      </c>
      <c r="G62" s="5" t="inlineStr">
        <is>
          <t>A</t>
        </is>
      </c>
      <c r="H62" s="5" t="inlineStr">
        <is>
          <t>E</t>
        </is>
      </c>
      <c r="I62" s="5" t="inlineStr">
        <is>
          <t>drop: non-standard/D peptide residues</t>
        </is>
      </c>
      <c r="J62" s="5" t="inlineStr">
        <is>
          <t>12</t>
        </is>
      </c>
      <c r="K62" s="5" t="inlineStr">
        <is>
          <t>NOT ADDED</t>
        </is>
      </c>
      <c r="L62" s="6" t="inlineStr">
        <is>
          <t>failed the resolved-fraction / D-residue screen (see verdict)</t>
        </is>
      </c>
    </row>
    <row r="63">
      <c r="A63" s="5" t="inlineStr">
        <is>
          <t>3DPO</t>
        </is>
      </c>
      <c r="B63" s="5" t="inlineStr">
        <is>
          <t>pyrrhocoricin</t>
        </is>
      </c>
      <c r="C63" s="5" t="inlineStr">
        <is>
          <t>219</t>
        </is>
      </c>
      <c r="D63" s="5" t="inlineStr">
        <is>
          <t>11</t>
        </is>
      </c>
      <c r="E63" s="5" t="inlineStr">
        <is>
          <t>0.82</t>
        </is>
      </c>
      <c r="F63" s="5" t="inlineStr">
        <is>
          <t>ALC</t>
        </is>
      </c>
      <c r="G63" s="5" t="inlineStr">
        <is>
          <t>A</t>
        </is>
      </c>
      <c r="H63" s="5" t="inlineStr">
        <is>
          <t>C</t>
        </is>
      </c>
      <c r="I63" s="5" t="inlineStr">
        <is>
          <t>drop: non-standard/D peptide residues</t>
        </is>
      </c>
      <c r="J63" s="5" t="inlineStr">
        <is>
          <t>9</t>
        </is>
      </c>
      <c r="K63" s="5" t="inlineStr">
        <is>
          <t>NOT ADDED</t>
        </is>
      </c>
      <c r="L63" s="6" t="inlineStr">
        <is>
          <t>failed the resolved-fraction / D-residue screen (see verdict)</t>
        </is>
      </c>
    </row>
    <row r="64">
      <c r="A64" s="5" t="inlineStr">
        <is>
          <t>4HY9</t>
        </is>
      </c>
      <c r="B64" s="5" t="inlineStr">
        <is>
          <t>pyrrhocoricin</t>
        </is>
      </c>
      <c r="C64" s="5" t="inlineStr">
        <is>
          <t>219</t>
        </is>
      </c>
      <c r="D64" s="5" t="inlineStr">
        <is>
          <t>12</t>
        </is>
      </c>
      <c r="E64" s="5" t="inlineStr">
        <is>
          <t>0.75</t>
        </is>
      </c>
      <c r="F64" s="5" t="inlineStr">
        <is>
          <t>ALC</t>
        </is>
      </c>
      <c r="G64" s="5" t="inlineStr">
        <is>
          <t>A</t>
        </is>
      </c>
      <c r="H64" s="5" t="inlineStr">
        <is>
          <t>C</t>
        </is>
      </c>
      <c r="I64" s="5" t="inlineStr">
        <is>
          <t>drop: non-standard/D peptide residues</t>
        </is>
      </c>
      <c r="J64" s="5" t="inlineStr">
        <is>
          <t>9</t>
        </is>
      </c>
      <c r="K64" s="5" t="inlineStr">
        <is>
          <t>NOT ADDED</t>
        </is>
      </c>
      <c r="L64" s="6" t="inlineStr">
        <is>
          <t>failed the resolved-fraction / D-residue screen (see verdict)</t>
        </is>
      </c>
    </row>
    <row r="65">
      <c r="A65" s="5" t="inlineStr">
        <is>
          <t>6Q8D</t>
        </is>
      </c>
      <c r="B65" s="5" t="inlineStr">
        <is>
          <t>antimicrobial peptide</t>
        </is>
      </c>
      <c r="C65" s="5" t="inlineStr">
        <is>
          <t>114</t>
        </is>
      </c>
      <c r="D65" s="5" t="inlineStr">
        <is>
          <t>11</t>
        </is>
      </c>
      <c r="E65" s="5" t="inlineStr">
        <is>
          <t>0.73</t>
        </is>
      </c>
      <c r="F65" s="5" t="inlineStr">
        <is>
          <t>DAL;DLE;DLY</t>
        </is>
      </c>
      <c r="G65" s="5" t="inlineStr">
        <is>
          <t>A</t>
        </is>
      </c>
      <c r="H65" s="5" t="inlineStr">
        <is>
          <t>B</t>
        </is>
      </c>
      <c r="I65" s="5" t="inlineStr">
        <is>
          <t>drop: non-standard/D peptide residues</t>
        </is>
      </c>
      <c r="J65" s="5" t="inlineStr">
        <is>
          <t>8</t>
        </is>
      </c>
      <c r="K65" s="5" t="inlineStr">
        <is>
          <t>NOT ADDED</t>
        </is>
      </c>
      <c r="L65" s="6" t="inlineStr">
        <is>
          <t>failed the resolved-fraction / D-residue screen (see verdict)</t>
        </is>
      </c>
    </row>
    <row r="66">
      <c r="A66" s="5" t="inlineStr">
        <is>
          <t>4HYB</t>
        </is>
      </c>
      <c r="B66" s="5" t="inlineStr">
        <is>
          <t>pyrrhocoricin</t>
        </is>
      </c>
      <c r="C66" s="5" t="inlineStr">
        <is>
          <t>219</t>
        </is>
      </c>
      <c r="D66" s="5" t="inlineStr">
        <is>
          <t>11</t>
        </is>
      </c>
      <c r="E66" s="5" t="inlineStr">
        <is>
          <t>0.73</t>
        </is>
      </c>
      <c r="F66" s="5" t="inlineStr">
        <is>
          <t>ALC</t>
        </is>
      </c>
      <c r="G66" s="5" t="inlineStr">
        <is>
          <t>A</t>
        </is>
      </c>
      <c r="H66" s="5" t="inlineStr">
        <is>
          <t>C</t>
        </is>
      </c>
      <c r="I66" s="5" t="inlineStr">
        <is>
          <t>drop: non-standard/D peptide residues</t>
        </is>
      </c>
      <c r="J66" s="5" t="inlineStr">
        <is>
          <t>8</t>
        </is>
      </c>
      <c r="K66" s="5" t="inlineStr">
        <is>
          <t>NOT ADDED</t>
        </is>
      </c>
      <c r="L66" s="6" t="inlineStr">
        <is>
          <t>failed the resolved-fraction / D-residue screen (see verdict)</t>
        </is>
      </c>
    </row>
    <row r="67">
      <c r="A67" s="5" t="inlineStr">
        <is>
          <t>2APH</t>
        </is>
      </c>
      <c r="B67" s="5" t="inlineStr">
        <is>
          <t>antimicrobial peptide</t>
        </is>
      </c>
      <c r="C67" s="5" t="inlineStr">
        <is>
          <t>165</t>
        </is>
      </c>
      <c r="D67" s="5" t="inlineStr">
        <is>
          <t>6</t>
        </is>
      </c>
      <c r="E67" s="5" t="inlineStr">
        <is>
          <t>0.67</t>
        </is>
      </c>
      <c r="F67" s="5" t="inlineStr">
        <is>
          <t>DAL</t>
        </is>
      </c>
      <c r="G67" s="5" t="inlineStr">
        <is>
          <t>A</t>
        </is>
      </c>
      <c r="H67" s="5" t="inlineStr">
        <is>
          <t>C</t>
        </is>
      </c>
      <c r="I67" s="5" t="inlineStr">
        <is>
          <t>drop: non-standard/D peptide residues</t>
        </is>
      </c>
      <c r="J67" s="5" t="inlineStr">
        <is>
          <t>4</t>
        </is>
      </c>
      <c r="K67" s="5" t="inlineStr">
        <is>
          <t>NOT ADDED</t>
        </is>
      </c>
      <c r="L67" s="6" t="inlineStr">
        <is>
          <t>failed the resolved-fraction / D-residue screen (see verdict)</t>
        </is>
      </c>
    </row>
    <row r="68">
      <c r="A68" s="5" t="inlineStr">
        <is>
          <t>3DPP</t>
        </is>
      </c>
      <c r="B68" s="5" t="inlineStr">
        <is>
          <t>pyrrhocoricin</t>
        </is>
      </c>
      <c r="C68" s="5" t="inlineStr">
        <is>
          <t>219</t>
        </is>
      </c>
      <c r="D68" s="5" t="inlineStr">
        <is>
          <t>20</t>
        </is>
      </c>
      <c r="E68" s="5" t="inlineStr">
        <is>
          <t>0.65</t>
        </is>
      </c>
      <c r="F68" s="5" t="inlineStr">
        <is>
          <t>ALC</t>
        </is>
      </c>
      <c r="G68" s="5" t="inlineStr">
        <is>
          <t>A</t>
        </is>
      </c>
      <c r="H68" s="5" t="inlineStr">
        <is>
          <t>C</t>
        </is>
      </c>
      <c r="I68" s="5" t="inlineStr">
        <is>
          <t>drop: non-standard/D peptide residues</t>
        </is>
      </c>
      <c r="J68" s="5" t="inlineStr">
        <is>
          <t>13</t>
        </is>
      </c>
      <c r="K68" s="5" t="inlineStr">
        <is>
          <t>NOT ADDED</t>
        </is>
      </c>
      <c r="L68" s="6" t="inlineStr">
        <is>
          <t>failed the resolved-fraction / D-residue screen (see verdict)</t>
        </is>
      </c>
    </row>
    <row r="69">
      <c r="A69" s="5" t="inlineStr">
        <is>
          <t>3DPQ</t>
        </is>
      </c>
      <c r="B69" s="5" t="inlineStr">
        <is>
          <t>pyrrhocoricin</t>
        </is>
      </c>
      <c r="C69" s="5" t="inlineStr">
        <is>
          <t>219</t>
        </is>
      </c>
      <c r="D69" s="5" t="inlineStr">
        <is>
          <t>20</t>
        </is>
      </c>
      <c r="E69" s="5" t="inlineStr">
        <is>
          <t>0.6</t>
        </is>
      </c>
      <c r="F69" s="5" t="inlineStr">
        <is>
          <t>ALC</t>
        </is>
      </c>
      <c r="G69" s="5" t="inlineStr">
        <is>
          <t>A</t>
        </is>
      </c>
      <c r="H69" s="5" t="inlineStr">
        <is>
          <t>C</t>
        </is>
      </c>
      <c r="I69" s="5" t="inlineStr">
        <is>
          <t>drop: non-standard/D peptide residues</t>
        </is>
      </c>
      <c r="J69" s="5" t="inlineStr">
        <is>
          <t>12</t>
        </is>
      </c>
      <c r="K69" s="5" t="inlineStr">
        <is>
          <t>NOT ADDED</t>
        </is>
      </c>
      <c r="L69" s="6" t="inlineStr">
        <is>
          <t>failed the resolved-fraction / D-residue screen (see verdict)</t>
        </is>
      </c>
    </row>
    <row r="70">
      <c r="A70" s="5" t="inlineStr">
        <is>
          <t>6Y0V</t>
        </is>
      </c>
      <c r="B70" s="5" t="inlineStr">
        <is>
          <t>antimicrobial peptide</t>
        </is>
      </c>
      <c r="C70" s="5" t="inlineStr">
        <is>
          <t>114</t>
        </is>
      </c>
      <c r="D70" s="5" t="inlineStr">
        <is>
          <t>14</t>
        </is>
      </c>
      <c r="E70" s="5" t="inlineStr">
        <is>
          <t>0.5</t>
        </is>
      </c>
      <c r="F70" s="5" t="inlineStr">
        <is>
          <t>DLY</t>
        </is>
      </c>
      <c r="G70" s="5" t="inlineStr">
        <is>
          <t>A</t>
        </is>
      </c>
      <c r="H70" s="5" t="inlineStr">
        <is>
          <t>E</t>
        </is>
      </c>
      <c r="I70" s="5" t="inlineStr">
        <is>
          <t>drop: non-standard/D peptide residues</t>
        </is>
      </c>
      <c r="J70" s="5" t="inlineStr">
        <is>
          <t>7</t>
        </is>
      </c>
      <c r="K70" s="5" t="inlineStr">
        <is>
          <t>NOT ADDED</t>
        </is>
      </c>
      <c r="L70" s="6" t="inlineStr">
        <is>
          <t>failed the resolved-fraction / D-residue screen (see verdict)</t>
        </is>
      </c>
    </row>
    <row r="71">
      <c r="A71" s="5" t="inlineStr">
        <is>
          <t>6B0U</t>
        </is>
      </c>
      <c r="B71" s="5" t="inlineStr">
        <is>
          <t>host defense peptide</t>
        </is>
      </c>
      <c r="C71" s="5" t="inlineStr">
        <is>
          <t>428</t>
        </is>
      </c>
      <c r="D71" s="5" t="inlineStr">
        <is>
          <t>9</t>
        </is>
      </c>
      <c r="E71" s="5" t="inlineStr">
        <is>
          <t>0.44</t>
        </is>
      </c>
      <c r="F71" s="5" t="inlineStr"/>
      <c r="G71" s="5" t="inlineStr">
        <is>
          <t>A</t>
        </is>
      </c>
      <c r="H71" s="5" t="inlineStr">
        <is>
          <t>D</t>
        </is>
      </c>
      <c r="I71" s="5" t="inlineStr">
        <is>
          <t>drop: peptide mostly disordered</t>
        </is>
      </c>
      <c r="J71" s="5" t="inlineStr">
        <is>
          <t>4</t>
        </is>
      </c>
      <c r="K71" s="5" t="inlineStr">
        <is>
          <t>NOT ADDED</t>
        </is>
      </c>
      <c r="L71" s="6" t="inlineStr">
        <is>
          <t>failed the resolved-fraction / D-residue screen (see verdict)</t>
        </is>
      </c>
    </row>
    <row r="72">
      <c r="A72" s="5" t="inlineStr">
        <is>
          <t>6M7Y</t>
        </is>
      </c>
      <c r="B72" s="5" t="inlineStr">
        <is>
          <t>nisin</t>
        </is>
      </c>
      <c r="C72" s="5" t="inlineStr">
        <is>
          <t>996</t>
        </is>
      </c>
      <c r="D72" s="5" t="inlineStr">
        <is>
          <t>34</t>
        </is>
      </c>
      <c r="E72" s="5" t="inlineStr">
        <is>
          <t>0.44</t>
        </is>
      </c>
      <c r="F72" s="5" t="inlineStr"/>
      <c r="G72" s="5" t="inlineStr">
        <is>
          <t>A</t>
        </is>
      </c>
      <c r="H72" s="5" t="inlineStr">
        <is>
          <t>C</t>
        </is>
      </c>
      <c r="I72" s="5" t="inlineStr">
        <is>
          <t>drop: peptide mostly disordered</t>
        </is>
      </c>
      <c r="J72" s="5" t="inlineStr">
        <is>
          <t>15</t>
        </is>
      </c>
      <c r="K72" s="5" t="inlineStr">
        <is>
          <t>NOT ADDED</t>
        </is>
      </c>
      <c r="L72" s="6" t="inlineStr">
        <is>
          <t>failed the resolved-fraction / D-residue screen (see verdict)</t>
        </is>
      </c>
    </row>
    <row r="73">
      <c r="A73" s="5" t="inlineStr">
        <is>
          <t>8A8X</t>
        </is>
      </c>
      <c r="B73" s="5" t="inlineStr">
        <is>
          <t>host defense peptide</t>
        </is>
      </c>
      <c r="C73" s="5" t="inlineStr">
        <is>
          <t>179</t>
        </is>
      </c>
      <c r="D73" s="5" t="inlineStr">
        <is>
          <t>7</t>
        </is>
      </c>
      <c r="E73" s="5" t="inlineStr">
        <is>
          <t>0.43</t>
        </is>
      </c>
      <c r="F73" s="5" t="inlineStr"/>
      <c r="G73" s="5" t="inlineStr">
        <is>
          <t>A</t>
        </is>
      </c>
      <c r="H73" s="5" t="inlineStr">
        <is>
          <t>B</t>
        </is>
      </c>
      <c r="I73" s="5" t="inlineStr">
        <is>
          <t>drop: peptide mostly disordered</t>
        </is>
      </c>
      <c r="J73" s="5" t="inlineStr">
        <is>
          <t>3</t>
        </is>
      </c>
      <c r="K73" s="5" t="inlineStr">
        <is>
          <t>NOT ADDED</t>
        </is>
      </c>
      <c r="L73" s="6" t="inlineStr">
        <is>
          <t>failed the resolved-fraction / D-residue screen (see verdict)</t>
        </is>
      </c>
    </row>
    <row r="74">
      <c r="A74" s="5" t="inlineStr">
        <is>
          <t>3RIG</t>
        </is>
      </c>
      <c r="B74" s="5" t="inlineStr">
        <is>
          <t>defensin</t>
        </is>
      </c>
      <c r="C74" s="5" t="inlineStr">
        <is>
          <t>273</t>
        </is>
      </c>
      <c r="D74" s="5" t="inlineStr">
        <is>
          <t>12</t>
        </is>
      </c>
      <c r="E74" s="5" t="inlineStr">
        <is>
          <t>0.42</t>
        </is>
      </c>
      <c r="F74" s="5" t="inlineStr"/>
      <c r="G74" s="5" t="inlineStr">
        <is>
          <t>A</t>
        </is>
      </c>
      <c r="H74" s="5" t="inlineStr">
        <is>
          <t>C</t>
        </is>
      </c>
      <c r="I74" s="5" t="inlineStr">
        <is>
          <t>drop: peptide mostly disordered</t>
        </is>
      </c>
      <c r="J74" s="5" t="inlineStr">
        <is>
          <t>5</t>
        </is>
      </c>
      <c r="K74" s="5" t="inlineStr">
        <is>
          <t>NOT ADDED</t>
        </is>
      </c>
      <c r="L74" s="6" t="inlineStr">
        <is>
          <t>failed the resolved-fraction / D-residue screen (see verdict)</t>
        </is>
      </c>
    </row>
    <row r="75">
      <c r="A75" s="5" t="inlineStr">
        <is>
          <t>4EZN</t>
        </is>
      </c>
      <c r="B75" s="5" t="inlineStr">
        <is>
          <t>pyrrhocoricin</t>
        </is>
      </c>
      <c r="C75" s="5" t="inlineStr">
        <is>
          <t>219</t>
        </is>
      </c>
      <c r="D75" s="5" t="inlineStr">
        <is>
          <t>20</t>
        </is>
      </c>
      <c r="E75" s="5" t="inlineStr">
        <is>
          <t>0.3</t>
        </is>
      </c>
      <c r="F75" s="5" t="inlineStr"/>
      <c r="G75" s="5" t="inlineStr">
        <is>
          <t>A</t>
        </is>
      </c>
      <c r="H75" s="5" t="inlineStr">
        <is>
          <t>C</t>
        </is>
      </c>
      <c r="I75" s="5" t="inlineStr">
        <is>
          <t>drop: peptide mostly disordered</t>
        </is>
      </c>
      <c r="J75" s="5" t="inlineStr">
        <is>
          <t>6</t>
        </is>
      </c>
      <c r="K75" s="5" t="inlineStr">
        <is>
          <t>NOT ADDED</t>
        </is>
      </c>
      <c r="L75" s="6" t="inlineStr">
        <is>
          <t>failed the resolved-fraction / D-residue screen (see verdict)</t>
        </is>
      </c>
    </row>
    <row r="76">
      <c r="A76" s="5" t="inlineStr">
        <is>
          <t>6S5P</t>
        </is>
      </c>
      <c r="B76" s="5" t="inlineStr">
        <is>
          <t>antimicrobial peptide</t>
        </is>
      </c>
      <c r="C76" s="5" t="inlineStr">
        <is>
          <t>115</t>
        </is>
      </c>
      <c r="D76" s="5" t="inlineStr">
        <is>
          <t>7</t>
        </is>
      </c>
      <c r="E76" s="5" t="inlineStr">
        <is>
          <t>0.14</t>
        </is>
      </c>
      <c r="F76" s="5" t="inlineStr"/>
      <c r="G76" s="5" t="inlineStr">
        <is>
          <t>A</t>
        </is>
      </c>
      <c r="H76" s="5" t="inlineStr">
        <is>
          <t>E</t>
        </is>
      </c>
      <c r="I76" s="5" t="inlineStr">
        <is>
          <t>drop: peptide mostly disordered</t>
        </is>
      </c>
      <c r="J76" s="5" t="inlineStr">
        <is>
          <t>1</t>
        </is>
      </c>
      <c r="K76" s="5" t="inlineStr">
        <is>
          <t>NOT ADDED</t>
        </is>
      </c>
      <c r="L76" s="6" t="inlineStr">
        <is>
          <t>failed the resolved-fraction / D-residue screen (see verdict)</t>
        </is>
      </c>
    </row>
    <row r="77">
      <c r="A77" s="5" t="inlineStr">
        <is>
          <t>2X3T</t>
        </is>
      </c>
      <c r="B77" s="5" t="inlineStr">
        <is>
          <t>antimicrobial peptide</t>
        </is>
      </c>
      <c r="C77" s="5" t="inlineStr">
        <is>
          <t>171</t>
        </is>
      </c>
      <c r="D77" s="5" t="inlineStr">
        <is>
          <t>9</t>
        </is>
      </c>
      <c r="E77" s="5" t="inlineStr">
        <is>
          <t>0.0</t>
        </is>
      </c>
      <c r="F77" s="5" t="inlineStr"/>
      <c r="G77" s="5" t="inlineStr">
        <is>
          <t>A</t>
        </is>
      </c>
      <c r="H77" s="5" t="inlineStr">
        <is>
          <t>E</t>
        </is>
      </c>
      <c r="I77" s="5" t="inlineStr">
        <is>
          <t>drop: peptide mostly disordered</t>
        </is>
      </c>
      <c r="J77" s="5" t="inlineStr">
        <is>
          <t>0</t>
        </is>
      </c>
      <c r="K77" s="5" t="inlineStr">
        <is>
          <t>NOT ADDED</t>
        </is>
      </c>
      <c r="L77" s="6" t="inlineStr">
        <is>
          <t>failed the resolved-fraction / D-residue screen (see verdict)</t>
        </is>
      </c>
    </row>
    <row r="78">
      <c r="A78" s="5" t="inlineStr">
        <is>
          <t>4WVP</t>
        </is>
      </c>
      <c r="B78" s="5" t="inlineStr">
        <is>
          <t>antimicrobial peptide</t>
        </is>
      </c>
      <c r="C78" s="5" t="inlineStr">
        <is>
          <t>218</t>
        </is>
      </c>
      <c r="D78" s="5" t="inlineStr">
        <is>
          <t>6</t>
        </is>
      </c>
      <c r="E78" s="5" t="inlineStr">
        <is>
          <t>0.0</t>
        </is>
      </c>
      <c r="F78" s="5" t="inlineStr"/>
      <c r="G78" s="5" t="inlineStr">
        <is>
          <t>E</t>
        </is>
      </c>
      <c r="H78" s="5" t="inlineStr">
        <is>
          <t>I</t>
        </is>
      </c>
      <c r="I78" s="5" t="inlineStr">
        <is>
          <t>drop: peptide mostly disordered</t>
        </is>
      </c>
      <c r="J78" s="5" t="inlineStr">
        <is>
          <t>0</t>
        </is>
      </c>
      <c r="K78" s="5" t="inlineStr">
        <is>
          <t>NOT ADDED</t>
        </is>
      </c>
      <c r="L78" s="6" t="inlineStr">
        <is>
          <t>failed the resolved-fraction / D-residue screen (see verdict)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2026-09-05T01:24:55Z</dcterms:created>
  <dcterms:modified xsi:type="dcterms:W3CDTF">2026-09-05T01:24:55Z</dcterms:modified>
</cp:coreProperties>
</file>